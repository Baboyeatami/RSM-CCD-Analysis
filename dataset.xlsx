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eshliannes.rosal/Documents/Stat Client/Force2/"/>
    </mc:Choice>
  </mc:AlternateContent>
  <xr:revisionPtr revIDLastSave="0" documentId="8_{D84E88B4-A85B-454C-B622-E96C60F834DD}" xr6:coauthVersionLast="47" xr6:coauthVersionMax="47" xr10:uidLastSave="{00000000-0000-0000-0000-000000000000}"/>
  <bookViews>
    <workbookView xWindow="5580" yWindow="2300" windowWidth="27640" windowHeight="16940" xr2:uid="{71176318-AC0A-2E4D-B44D-CCFD689606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1" i="1" l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<sst xmlns="http://schemas.openxmlformats.org/spreadsheetml/2006/main" count="164" uniqueCount="88">
  <si>
    <t>ID</t>
  </si>
  <si>
    <t>FORCE (kN)</t>
  </si>
  <si>
    <t>Strength (MPa)</t>
  </si>
  <si>
    <t>Batch type</t>
  </si>
  <si>
    <t>COMPRESSIVE: BATCH 1</t>
  </si>
  <si>
    <t>COMPRESSIVE: BATCH 2</t>
  </si>
  <si>
    <t>1C-1</t>
  </si>
  <si>
    <t>2C-1</t>
  </si>
  <si>
    <t>3C-1</t>
  </si>
  <si>
    <t>4C-1</t>
  </si>
  <si>
    <t>5C-1</t>
  </si>
  <si>
    <t>6C-1</t>
  </si>
  <si>
    <t>7C-1</t>
  </si>
  <si>
    <t>8C-1</t>
  </si>
  <si>
    <t>9C-1</t>
  </si>
  <si>
    <t>10C-1</t>
  </si>
  <si>
    <t>11C-1</t>
  </si>
  <si>
    <t>12C-1</t>
  </si>
  <si>
    <t>13C-1</t>
  </si>
  <si>
    <t>14C-1</t>
  </si>
  <si>
    <t>15C-1</t>
  </si>
  <si>
    <t>16C-1</t>
  </si>
  <si>
    <t>17C-1</t>
  </si>
  <si>
    <t>18C-1</t>
  </si>
  <si>
    <t>19C-1</t>
  </si>
  <si>
    <t>20C-1</t>
  </si>
  <si>
    <t>1C-2</t>
  </si>
  <si>
    <t>2C-2</t>
  </si>
  <si>
    <t>3C-2</t>
  </si>
  <si>
    <t>4C-2</t>
  </si>
  <si>
    <t>5C-2</t>
  </si>
  <si>
    <t>6C-2</t>
  </si>
  <si>
    <t>7C-2</t>
  </si>
  <si>
    <t>8C-2</t>
  </si>
  <si>
    <t>9C-2</t>
  </si>
  <si>
    <t>10C-2</t>
  </si>
  <si>
    <t>11C-2</t>
  </si>
  <si>
    <t>12C-2</t>
  </si>
  <si>
    <t>13C-2</t>
  </si>
  <si>
    <t>14C-2</t>
  </si>
  <si>
    <t>15C-2</t>
  </si>
  <si>
    <t>16C-2</t>
  </si>
  <si>
    <t>17C-2</t>
  </si>
  <si>
    <t>18C-2</t>
  </si>
  <si>
    <t>19C-2</t>
  </si>
  <si>
    <t>20C-2</t>
  </si>
  <si>
    <t>1B-1</t>
  </si>
  <si>
    <t>2B-1</t>
  </si>
  <si>
    <t>3B-1</t>
  </si>
  <si>
    <t>4B-1</t>
  </si>
  <si>
    <t>5B-1</t>
  </si>
  <si>
    <t>6B-1</t>
  </si>
  <si>
    <t>7B-1</t>
  </si>
  <si>
    <t>8B-1</t>
  </si>
  <si>
    <t>9B-1</t>
  </si>
  <si>
    <t>10B-1</t>
  </si>
  <si>
    <t>11B-1</t>
  </si>
  <si>
    <t>12B-1</t>
  </si>
  <si>
    <t>13B-1</t>
  </si>
  <si>
    <t>14B-1</t>
  </si>
  <si>
    <t>15B-1</t>
  </si>
  <si>
    <t>16B-1</t>
  </si>
  <si>
    <t>17B-1</t>
  </si>
  <si>
    <t>18B-1</t>
  </si>
  <si>
    <t>19B-1</t>
  </si>
  <si>
    <t>20B-1</t>
  </si>
  <si>
    <t>FLEXURAL: BATCH 1</t>
  </si>
  <si>
    <t>FLEXURAL: BATCH 2</t>
  </si>
  <si>
    <t>1B-2</t>
  </si>
  <si>
    <t>2B-2</t>
  </si>
  <si>
    <t>3B-2</t>
  </si>
  <si>
    <t>4B-2</t>
  </si>
  <si>
    <t>5B-2</t>
  </si>
  <si>
    <t>6B-2</t>
  </si>
  <si>
    <t>7B-2</t>
  </si>
  <si>
    <t>8B-2</t>
  </si>
  <si>
    <t>9B-2</t>
  </si>
  <si>
    <t>10B-2</t>
  </si>
  <si>
    <t>11B-2</t>
  </si>
  <si>
    <t>12B-2</t>
  </si>
  <si>
    <t>13B-2</t>
  </si>
  <si>
    <t>14B-2</t>
  </si>
  <si>
    <t>15B-2</t>
  </si>
  <si>
    <t>16B-2</t>
  </si>
  <si>
    <t>17B-2</t>
  </si>
  <si>
    <t>18B-2</t>
  </si>
  <si>
    <t>19B-2</t>
  </si>
  <si>
    <t>20B-2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</si>
</sst>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name val="Aptos Narrow"/>
    </font>
    <font>
      <sz val="1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86FE2-8D4D-3F4A-ADF9-2EC4E28512E0}">
  <dimension ref="A1:D81"/>
  <sheetViews>
    <sheetView tabSelected="1" workbookViewId="0">
      <selection activeCell="F74" sqref="F74"/>
    </sheetView>
  </sheetViews>
  <sheetFormatPr baseColWidth="10" defaultRowHeight="16" x14ac:dyDescent="0.2"/>
  <cols>
    <col min="2" max="2" width="20.1640625" customWidth="1"/>
    <col min="3" max="3" width="23.5" customWidth="1"/>
    <col min="4" max="4" width="24.5" customWidth="1"/>
  </cols>
  <sheetData>
    <row r="1" spans="1:4" x14ac:dyDescent="0.2">
      <c r="A1" s="1" t="s">
        <v>0</v>
      </c>
      <c r="B1" s="2" t="s">
        <v>1</v>
      </c>
      <c r="C1" s="2" t="s">
        <v>2</v>
      </c>
      <c r="D1" t="s">
        <v>3</v>
      </c>
    </row>
    <row r="2" spans="1:4" x14ac:dyDescent="0.2">
      <c r="A2" s="1" t="s">
        <v>6</v>
      </c>
      <c r="B2" s="1">
        <v>367.42</v>
      </c>
      <c r="C2" s="1">
        <f>(B2*1000)/(0.25*PI()*100*100)</f>
        <v>46.781367352659345</v>
      </c>
      <c r="D2" t="s">
        <v>4</v>
      </c>
    </row>
    <row r="3" spans="1:4" x14ac:dyDescent="0.2">
      <c r="A3" s="1" t="s">
        <v>7</v>
      </c>
      <c r="B3" s="2">
        <v>118.96</v>
      </c>
      <c r="C3" s="1">
        <f>(B3*1000)/(0.25*PI()*100*100)</f>
        <v>15.146457624169496</v>
      </c>
      <c r="D3" t="s">
        <v>4</v>
      </c>
    </row>
    <row r="4" spans="1:4" x14ac:dyDescent="0.2">
      <c r="A4" s="1" t="s">
        <v>8</v>
      </c>
      <c r="B4" s="1">
        <v>47.48</v>
      </c>
      <c r="C4" s="1">
        <f>(B4*1000)/(0.25*PI()*100*100)</f>
        <v>6.0453413584025526</v>
      </c>
      <c r="D4" t="s">
        <v>4</v>
      </c>
    </row>
    <row r="5" spans="1:4" x14ac:dyDescent="0.2">
      <c r="A5" s="1" t="s">
        <v>9</v>
      </c>
      <c r="B5" s="1">
        <v>8.32</v>
      </c>
      <c r="C5" s="1">
        <f>(B5*1000)/(0.25*PI()*100*100)</f>
        <v>1.0593353012196554</v>
      </c>
      <c r="D5" t="s">
        <v>4</v>
      </c>
    </row>
    <row r="6" spans="1:4" x14ac:dyDescent="0.2">
      <c r="A6" s="1" t="s">
        <v>10</v>
      </c>
      <c r="B6" s="1">
        <v>390.58</v>
      </c>
      <c r="C6" s="1">
        <f>(B6*1000)/(0.25*PI()*100*100)</f>
        <v>49.730190138265982</v>
      </c>
      <c r="D6" t="s">
        <v>4</v>
      </c>
    </row>
    <row r="7" spans="1:4" x14ac:dyDescent="0.2">
      <c r="A7" s="1" t="s">
        <v>11</v>
      </c>
      <c r="B7" s="1">
        <v>67.48</v>
      </c>
      <c r="C7" s="1">
        <f>(B7*1000)/(0.25*PI()*100*100)</f>
        <v>8.5918204478728786</v>
      </c>
      <c r="D7" t="s">
        <v>4</v>
      </c>
    </row>
    <row r="8" spans="1:4" x14ac:dyDescent="0.2">
      <c r="A8" s="1" t="s">
        <v>12</v>
      </c>
      <c r="B8" s="1">
        <v>43.15</v>
      </c>
      <c r="C8" s="1">
        <f>(B8*1000)/(0.25*PI()*100*100)</f>
        <v>5.494028635532227</v>
      </c>
      <c r="D8" t="s">
        <v>4</v>
      </c>
    </row>
    <row r="9" spans="1:4" x14ac:dyDescent="0.2">
      <c r="A9" s="1" t="s">
        <v>13</v>
      </c>
      <c r="B9" s="1">
        <v>35.86</v>
      </c>
      <c r="C9" s="1">
        <f>(B9*1000)/(0.25*PI()*100*100)</f>
        <v>4.5658370074202939</v>
      </c>
      <c r="D9" t="s">
        <v>4</v>
      </c>
    </row>
    <row r="10" spans="1:4" x14ac:dyDescent="0.2">
      <c r="A10" s="1" t="s">
        <v>14</v>
      </c>
      <c r="B10" s="1">
        <v>173.6</v>
      </c>
      <c r="C10" s="1">
        <f>(B10*1000)/(0.25*PI()*100*100)</f>
        <v>22.103438496602426</v>
      </c>
      <c r="D10" t="s">
        <v>4</v>
      </c>
    </row>
    <row r="11" spans="1:4" x14ac:dyDescent="0.2">
      <c r="A11" s="1" t="s">
        <v>15</v>
      </c>
      <c r="B11" s="1">
        <v>36</v>
      </c>
      <c r="C11" s="1">
        <f>(B11*1000)/(0.25*PI()*100*100)</f>
        <v>4.5836623610465859</v>
      </c>
      <c r="D11" t="s">
        <v>4</v>
      </c>
    </row>
    <row r="12" spans="1:4" x14ac:dyDescent="0.2">
      <c r="A12" s="1" t="s">
        <v>16</v>
      </c>
      <c r="B12" s="1">
        <v>189.82</v>
      </c>
      <c r="C12" s="1">
        <f>(B12*1000)/(0.25*PI()*100*100)</f>
        <v>24.168633038162859</v>
      </c>
      <c r="D12" t="s">
        <v>4</v>
      </c>
    </row>
    <row r="13" spans="1:4" x14ac:dyDescent="0.2">
      <c r="A13" s="1" t="s">
        <v>17</v>
      </c>
      <c r="B13" s="1"/>
      <c r="C13" s="1">
        <f>(B13*1000)/(0.25*PI()*100*100)</f>
        <v>0</v>
      </c>
      <c r="D13" t="s">
        <v>4</v>
      </c>
    </row>
    <row r="14" spans="1:4" x14ac:dyDescent="0.2">
      <c r="A14" s="1" t="s">
        <v>18</v>
      </c>
      <c r="B14" s="2">
        <v>65.58</v>
      </c>
      <c r="C14" s="1">
        <f>(B14*1000)/(0.25*PI()*100*100)</f>
        <v>8.3499049343731961</v>
      </c>
      <c r="D14" t="s">
        <v>4</v>
      </c>
    </row>
    <row r="15" spans="1:4" x14ac:dyDescent="0.2">
      <c r="A15" s="1" t="s">
        <v>19</v>
      </c>
      <c r="B15" s="2">
        <v>75.48</v>
      </c>
      <c r="C15" s="1">
        <f>(B15*1000)/(0.25*PI()*100*100)</f>
        <v>9.610412083661009</v>
      </c>
      <c r="D15" t="s">
        <v>4</v>
      </c>
    </row>
    <row r="16" spans="1:4" x14ac:dyDescent="0.2">
      <c r="A16" s="1" t="s">
        <v>20</v>
      </c>
      <c r="B16" s="1">
        <v>75.86</v>
      </c>
      <c r="C16" s="1">
        <f>(B16*1000)/(0.25*PI()*100*100)</f>
        <v>9.658795186360944</v>
      </c>
      <c r="D16" t="s">
        <v>4</v>
      </c>
    </row>
    <row r="17" spans="1:4" x14ac:dyDescent="0.2">
      <c r="A17" s="1" t="s">
        <v>21</v>
      </c>
      <c r="B17" s="1">
        <v>97.94</v>
      </c>
      <c r="C17" s="1">
        <f>(B17*1000)/(0.25*PI()*100*100)</f>
        <v>12.470108101136184</v>
      </c>
      <c r="D17" t="s">
        <v>4</v>
      </c>
    </row>
    <row r="18" spans="1:4" x14ac:dyDescent="0.2">
      <c r="A18" s="1" t="s">
        <v>22</v>
      </c>
      <c r="B18" s="1">
        <v>66.540000000000006</v>
      </c>
      <c r="C18" s="1">
        <f>(B18*1000)/(0.25*PI()*100*100)</f>
        <v>8.4721359306677719</v>
      </c>
      <c r="D18" t="s">
        <v>4</v>
      </c>
    </row>
    <row r="19" spans="1:4" x14ac:dyDescent="0.2">
      <c r="A19" s="1" t="s">
        <v>23</v>
      </c>
      <c r="B19" s="1">
        <v>45.36</v>
      </c>
      <c r="C19" s="1">
        <f>(B19*1000)/(0.25*PI()*100*100)</f>
        <v>5.775414574918698</v>
      </c>
      <c r="D19" t="s">
        <v>4</v>
      </c>
    </row>
    <row r="20" spans="1:4" x14ac:dyDescent="0.2">
      <c r="A20" s="1" t="s">
        <v>24</v>
      </c>
      <c r="B20" s="2">
        <v>64.8</v>
      </c>
      <c r="C20" s="1">
        <f>(B20*1000)/(0.25*PI()*100*100)</f>
        <v>8.2505922498838551</v>
      </c>
      <c r="D20" t="s">
        <v>4</v>
      </c>
    </row>
    <row r="21" spans="1:4" x14ac:dyDescent="0.2">
      <c r="A21" s="1" t="s">
        <v>25</v>
      </c>
      <c r="B21" s="2">
        <v>66.28</v>
      </c>
      <c r="C21" s="1">
        <f>(B21*1000)/(0.25*PI()*100*100)</f>
        <v>8.4390317025046588</v>
      </c>
      <c r="D21" t="s">
        <v>4</v>
      </c>
    </row>
    <row r="22" spans="1:4" x14ac:dyDescent="0.2">
      <c r="A22" t="s">
        <v>26</v>
      </c>
      <c r="B22" s="1">
        <v>407.92</v>
      </c>
      <c r="C22" s="1">
        <f t="shared" ref="C22:C41" si="0">(B22*1000)/(0.25*PI()*100*100)</f>
        <v>51.937987508836756</v>
      </c>
      <c r="D22" t="s">
        <v>5</v>
      </c>
    </row>
    <row r="23" spans="1:4" x14ac:dyDescent="0.2">
      <c r="A23" t="s">
        <v>27</v>
      </c>
      <c r="B23" s="2">
        <v>129.5</v>
      </c>
      <c r="C23" s="1">
        <f t="shared" si="0"/>
        <v>16.488452104320356</v>
      </c>
      <c r="D23" t="s">
        <v>5</v>
      </c>
    </row>
    <row r="24" spans="1:4" x14ac:dyDescent="0.2">
      <c r="A24" t="s">
        <v>28</v>
      </c>
      <c r="B24" s="1">
        <v>33.1</v>
      </c>
      <c r="C24" s="1">
        <f t="shared" si="0"/>
        <v>4.2144228930733885</v>
      </c>
      <c r="D24" t="s">
        <v>5</v>
      </c>
    </row>
    <row r="25" spans="1:4" x14ac:dyDescent="0.2">
      <c r="A25" t="s">
        <v>29</v>
      </c>
      <c r="B25" s="1">
        <v>8.14</v>
      </c>
      <c r="C25" s="1">
        <f t="shared" si="0"/>
        <v>1.0364169894144226</v>
      </c>
      <c r="D25" t="s">
        <v>5</v>
      </c>
    </row>
    <row r="26" spans="1:4" x14ac:dyDescent="0.2">
      <c r="A26" t="s">
        <v>30</v>
      </c>
      <c r="B26" s="1">
        <v>413.04</v>
      </c>
      <c r="C26" s="1">
        <f t="shared" si="0"/>
        <v>52.589886155741162</v>
      </c>
      <c r="D26" t="s">
        <v>5</v>
      </c>
    </row>
    <row r="27" spans="1:4" x14ac:dyDescent="0.2">
      <c r="A27" t="s">
        <v>31</v>
      </c>
      <c r="B27" s="1">
        <v>38.299999999999997</v>
      </c>
      <c r="C27" s="1">
        <f t="shared" si="0"/>
        <v>4.8765074563356734</v>
      </c>
      <c r="D27" t="s">
        <v>5</v>
      </c>
    </row>
    <row r="28" spans="1:4" x14ac:dyDescent="0.2">
      <c r="A28" t="s">
        <v>32</v>
      </c>
      <c r="B28" s="1">
        <v>17.88</v>
      </c>
      <c r="C28" s="1">
        <f t="shared" si="0"/>
        <v>2.276552305986471</v>
      </c>
      <c r="D28" t="s">
        <v>5</v>
      </c>
    </row>
    <row r="29" spans="1:4" x14ac:dyDescent="0.2">
      <c r="A29" t="s">
        <v>33</v>
      </c>
      <c r="B29" s="1">
        <v>14.24</v>
      </c>
      <c r="C29" s="1">
        <f t="shared" si="0"/>
        <v>1.8130931117028717</v>
      </c>
      <c r="D29" t="s">
        <v>5</v>
      </c>
    </row>
    <row r="30" spans="1:4" x14ac:dyDescent="0.2">
      <c r="A30" t="s">
        <v>34</v>
      </c>
      <c r="B30" s="1">
        <v>124.06</v>
      </c>
      <c r="C30" s="1">
        <f t="shared" si="0"/>
        <v>15.795809791984428</v>
      </c>
      <c r="D30" t="s">
        <v>5</v>
      </c>
    </row>
    <row r="31" spans="1:4" x14ac:dyDescent="0.2">
      <c r="A31" t="s">
        <v>35</v>
      </c>
      <c r="B31" s="1">
        <v>42.06</v>
      </c>
      <c r="C31" s="1">
        <f t="shared" si="0"/>
        <v>5.3552455251560946</v>
      </c>
      <c r="D31" t="s">
        <v>5</v>
      </c>
    </row>
    <row r="32" spans="1:4" x14ac:dyDescent="0.2">
      <c r="A32" t="s">
        <v>36</v>
      </c>
      <c r="B32" s="1">
        <v>179</v>
      </c>
      <c r="C32" s="1">
        <f t="shared" si="0"/>
        <v>22.790987850759411</v>
      </c>
      <c r="D32" t="s">
        <v>5</v>
      </c>
    </row>
    <row r="33" spans="1:4" x14ac:dyDescent="0.2">
      <c r="A33" t="s">
        <v>37</v>
      </c>
      <c r="B33" s="1">
        <v>0</v>
      </c>
      <c r="C33" s="1">
        <f t="shared" si="0"/>
        <v>0</v>
      </c>
      <c r="D33" t="s">
        <v>5</v>
      </c>
    </row>
    <row r="34" spans="1:4" x14ac:dyDescent="0.2">
      <c r="A34" t="s">
        <v>38</v>
      </c>
      <c r="B34" s="2">
        <v>66.08</v>
      </c>
      <c r="C34" s="1">
        <f t="shared" si="0"/>
        <v>8.413566911609955</v>
      </c>
      <c r="D34" t="s">
        <v>5</v>
      </c>
    </row>
    <row r="35" spans="1:4" x14ac:dyDescent="0.2">
      <c r="A35" t="s">
        <v>39</v>
      </c>
      <c r="B35" s="2">
        <v>51.5</v>
      </c>
      <c r="C35" s="1">
        <f t="shared" si="0"/>
        <v>6.5571836553860878</v>
      </c>
      <c r="D35" t="s">
        <v>5</v>
      </c>
    </row>
    <row r="36" spans="1:4" x14ac:dyDescent="0.2">
      <c r="A36" t="s">
        <v>40</v>
      </c>
      <c r="B36" s="1">
        <v>90.28</v>
      </c>
      <c r="C36" s="1">
        <f t="shared" si="0"/>
        <v>11.494806609869048</v>
      </c>
      <c r="D36" t="s">
        <v>5</v>
      </c>
    </row>
    <row r="37" spans="1:4" x14ac:dyDescent="0.2">
      <c r="A37" t="s">
        <v>41</v>
      </c>
      <c r="B37" s="1">
        <v>47.82</v>
      </c>
      <c r="C37" s="1">
        <f t="shared" si="0"/>
        <v>6.0886315029235485</v>
      </c>
      <c r="D37" t="s">
        <v>5</v>
      </c>
    </row>
    <row r="38" spans="1:4" x14ac:dyDescent="0.2">
      <c r="A38" t="s">
        <v>42</v>
      </c>
      <c r="B38" s="1">
        <v>60.24</v>
      </c>
      <c r="C38" s="1">
        <f t="shared" si="0"/>
        <v>7.6699950174846201</v>
      </c>
      <c r="D38" t="s">
        <v>5</v>
      </c>
    </row>
    <row r="39" spans="1:4" x14ac:dyDescent="0.2">
      <c r="A39" t="s">
        <v>43</v>
      </c>
      <c r="B39" s="1">
        <v>55.98</v>
      </c>
      <c r="C39" s="1">
        <f t="shared" si="0"/>
        <v>7.1275949714274409</v>
      </c>
      <c r="D39" t="s">
        <v>5</v>
      </c>
    </row>
    <row r="40" spans="1:4" x14ac:dyDescent="0.2">
      <c r="A40" t="s">
        <v>44</v>
      </c>
      <c r="B40" s="2">
        <v>47.26</v>
      </c>
      <c r="C40" s="1">
        <f t="shared" si="0"/>
        <v>6.0173300884183787</v>
      </c>
      <c r="D40" t="s">
        <v>5</v>
      </c>
    </row>
    <row r="41" spans="1:4" x14ac:dyDescent="0.2">
      <c r="A41" t="s">
        <v>45</v>
      </c>
      <c r="B41" s="2">
        <v>114.5</v>
      </c>
      <c r="C41" s="1">
        <f t="shared" si="0"/>
        <v>14.578592787217612</v>
      </c>
      <c r="D41" t="s">
        <v>5</v>
      </c>
    </row>
    <row r="42" spans="1:4" x14ac:dyDescent="0.2">
      <c r="A42" t="s">
        <v>46</v>
      </c>
      <c r="B42" s="2">
        <v>17.920000000000002</v>
      </c>
      <c r="C42" s="1">
        <f t="shared" ref="C42:C81" si="1">(B42*1000)/(100*100)</f>
        <v>1.792</v>
      </c>
      <c r="D42" t="s">
        <v>66</v>
      </c>
    </row>
    <row r="43" spans="1:4" x14ac:dyDescent="0.2">
      <c r="A43" t="s">
        <v>47</v>
      </c>
      <c r="B43" s="2">
        <v>24.42</v>
      </c>
      <c r="C43" s="1">
        <f t="shared" si="1"/>
        <v>2.4420000000000002</v>
      </c>
      <c r="D43" t="s">
        <v>66</v>
      </c>
    </row>
    <row r="44" spans="1:4" x14ac:dyDescent="0.2">
      <c r="A44" t="s">
        <v>48</v>
      </c>
      <c r="B44" s="1">
        <v>21.38</v>
      </c>
      <c r="C44" s="1">
        <f t="shared" si="1"/>
        <v>2.1379999999999999</v>
      </c>
      <c r="D44" t="s">
        <v>66</v>
      </c>
    </row>
    <row r="45" spans="1:4" x14ac:dyDescent="0.2">
      <c r="A45" t="s">
        <v>49</v>
      </c>
      <c r="B45" s="1">
        <v>20.68</v>
      </c>
      <c r="C45" s="1">
        <f t="shared" si="1"/>
        <v>2.0680000000000001</v>
      </c>
      <c r="D45" t="s">
        <v>66</v>
      </c>
    </row>
    <row r="46" spans="1:4" x14ac:dyDescent="0.2">
      <c r="A46" t="s">
        <v>50</v>
      </c>
      <c r="B46" s="1">
        <v>14.04</v>
      </c>
      <c r="C46" s="1">
        <f t="shared" si="1"/>
        <v>1.4039999999999999</v>
      </c>
      <c r="D46" t="s">
        <v>66</v>
      </c>
    </row>
    <row r="47" spans="1:4" x14ac:dyDescent="0.2">
      <c r="A47" t="s">
        <v>51</v>
      </c>
      <c r="B47" s="1">
        <v>14.04</v>
      </c>
      <c r="C47" s="1">
        <f t="shared" si="1"/>
        <v>1.4039999999999999</v>
      </c>
      <c r="D47" t="s">
        <v>66</v>
      </c>
    </row>
    <row r="48" spans="1:4" x14ac:dyDescent="0.2">
      <c r="A48" t="s">
        <v>52</v>
      </c>
      <c r="B48" s="1">
        <v>3.4</v>
      </c>
      <c r="C48" s="1">
        <f t="shared" si="1"/>
        <v>0.34</v>
      </c>
      <c r="D48" t="s">
        <v>66</v>
      </c>
    </row>
    <row r="49" spans="1:4" x14ac:dyDescent="0.2">
      <c r="A49" t="s">
        <v>53</v>
      </c>
      <c r="B49" s="1">
        <v>2.62</v>
      </c>
      <c r="C49" s="1">
        <f t="shared" si="1"/>
        <v>0.26200000000000001</v>
      </c>
      <c r="D49" t="s">
        <v>66</v>
      </c>
    </row>
    <row r="50" spans="1:4" x14ac:dyDescent="0.2">
      <c r="A50" t="s">
        <v>54</v>
      </c>
      <c r="B50" s="1">
        <v>8.36</v>
      </c>
      <c r="C50" s="1">
        <f t="shared" si="1"/>
        <v>0.83599999999999997</v>
      </c>
      <c r="D50" t="s">
        <v>66</v>
      </c>
    </row>
    <row r="51" spans="1:4" x14ac:dyDescent="0.2">
      <c r="A51" t="s">
        <v>55</v>
      </c>
      <c r="B51" s="1">
        <v>6.62</v>
      </c>
      <c r="C51" s="1">
        <f t="shared" si="1"/>
        <v>0.66200000000000003</v>
      </c>
      <c r="D51" t="s">
        <v>66</v>
      </c>
    </row>
    <row r="52" spans="1:4" x14ac:dyDescent="0.2">
      <c r="A52" t="s">
        <v>56</v>
      </c>
      <c r="B52" s="1">
        <v>13.1</v>
      </c>
      <c r="C52" s="1">
        <f t="shared" si="1"/>
        <v>1.31</v>
      </c>
      <c r="D52" t="s">
        <v>66</v>
      </c>
    </row>
    <row r="53" spans="1:4" x14ac:dyDescent="0.2">
      <c r="A53" t="s">
        <v>57</v>
      </c>
      <c r="B53" s="2">
        <v>0</v>
      </c>
      <c r="C53" s="1">
        <f t="shared" si="1"/>
        <v>0</v>
      </c>
      <c r="D53" t="s">
        <v>66</v>
      </c>
    </row>
    <row r="54" spans="1:4" x14ac:dyDescent="0.2">
      <c r="A54" t="s">
        <v>58</v>
      </c>
      <c r="B54" s="2">
        <v>16.68</v>
      </c>
      <c r="C54" s="1">
        <f t="shared" si="1"/>
        <v>1.6679999999999999</v>
      </c>
      <c r="D54" t="s">
        <v>66</v>
      </c>
    </row>
    <row r="55" spans="1:4" x14ac:dyDescent="0.2">
      <c r="A55" t="s">
        <v>59</v>
      </c>
      <c r="B55" s="2">
        <v>6.42</v>
      </c>
      <c r="C55" s="1">
        <f t="shared" si="1"/>
        <v>0.64200000000000002</v>
      </c>
      <c r="D55" t="s">
        <v>66</v>
      </c>
    </row>
    <row r="56" spans="1:4" x14ac:dyDescent="0.2">
      <c r="A56" t="s">
        <v>60</v>
      </c>
      <c r="B56" s="1">
        <v>6.86</v>
      </c>
      <c r="C56" s="1">
        <f t="shared" si="1"/>
        <v>0.68600000000000005</v>
      </c>
      <c r="D56" t="s">
        <v>66</v>
      </c>
    </row>
    <row r="57" spans="1:4" x14ac:dyDescent="0.2">
      <c r="A57" t="s">
        <v>61</v>
      </c>
      <c r="B57" s="1">
        <v>7.24</v>
      </c>
      <c r="C57" s="1">
        <f t="shared" si="1"/>
        <v>0.72399999999999998</v>
      </c>
      <c r="D57" t="s">
        <v>66</v>
      </c>
    </row>
    <row r="58" spans="1:4" x14ac:dyDescent="0.2">
      <c r="A58" t="s">
        <v>62</v>
      </c>
      <c r="B58" s="1">
        <v>8.64</v>
      </c>
      <c r="C58" s="1">
        <f t="shared" si="1"/>
        <v>0.86399999999999999</v>
      </c>
      <c r="D58" t="s">
        <v>66</v>
      </c>
    </row>
    <row r="59" spans="1:4" x14ac:dyDescent="0.2">
      <c r="A59" t="s">
        <v>63</v>
      </c>
      <c r="B59" s="1">
        <v>8.1199999999999992</v>
      </c>
      <c r="C59" s="1">
        <f t="shared" si="1"/>
        <v>0.81199999999999994</v>
      </c>
      <c r="D59" t="s">
        <v>66</v>
      </c>
    </row>
    <row r="60" spans="1:4" x14ac:dyDescent="0.2">
      <c r="A60" t="s">
        <v>64</v>
      </c>
      <c r="B60" s="2">
        <v>6.7</v>
      </c>
      <c r="C60" s="1">
        <f t="shared" si="1"/>
        <v>0.67</v>
      </c>
      <c r="D60" t="s">
        <v>66</v>
      </c>
    </row>
    <row r="61" spans="1:4" x14ac:dyDescent="0.2">
      <c r="A61" t="s">
        <v>65</v>
      </c>
      <c r="B61" s="2">
        <v>7.64</v>
      </c>
      <c r="C61" s="1">
        <f t="shared" si="1"/>
        <v>0.76400000000000001</v>
      </c>
      <c r="D61" t="s">
        <v>66</v>
      </c>
    </row>
    <row r="62" spans="1:4" x14ac:dyDescent="0.2">
      <c r="A62" t="s">
        <v>68</v>
      </c>
      <c r="B62" s="1">
        <v>18.22</v>
      </c>
      <c r="C62" s="1">
        <f t="shared" si="1"/>
        <v>1.8220000000000001</v>
      </c>
      <c r="D62" t="s">
        <v>67</v>
      </c>
    </row>
    <row r="63" spans="1:4" x14ac:dyDescent="0.2">
      <c r="A63" t="s">
        <v>69</v>
      </c>
      <c r="B63" s="2">
        <v>10.82</v>
      </c>
      <c r="C63" s="1">
        <f t="shared" si="1"/>
        <v>1.0820000000000001</v>
      </c>
      <c r="D63" t="s">
        <v>67</v>
      </c>
    </row>
    <row r="64" spans="1:4" x14ac:dyDescent="0.2">
      <c r="A64" t="s">
        <v>70</v>
      </c>
      <c r="B64" s="1">
        <v>19.66</v>
      </c>
      <c r="C64" s="1">
        <f t="shared" si="1"/>
        <v>1.966</v>
      </c>
      <c r="D64" t="s">
        <v>67</v>
      </c>
    </row>
    <row r="65" spans="1:4" x14ac:dyDescent="0.2">
      <c r="A65" t="s">
        <v>71</v>
      </c>
      <c r="B65" s="1">
        <v>20.18</v>
      </c>
      <c r="C65" s="1">
        <f t="shared" si="1"/>
        <v>2.0179999999999998</v>
      </c>
      <c r="D65" t="s">
        <v>67</v>
      </c>
    </row>
    <row r="66" spans="1:4" x14ac:dyDescent="0.2">
      <c r="A66" t="s">
        <v>72</v>
      </c>
      <c r="B66" s="1">
        <v>14.56</v>
      </c>
      <c r="C66" s="1">
        <f t="shared" si="1"/>
        <v>1.456</v>
      </c>
      <c r="D66" t="s">
        <v>67</v>
      </c>
    </row>
    <row r="67" spans="1:4" x14ac:dyDescent="0.2">
      <c r="A67" t="s">
        <v>73</v>
      </c>
      <c r="B67" s="1">
        <v>26.4</v>
      </c>
      <c r="C67" s="1">
        <f t="shared" si="1"/>
        <v>2.64</v>
      </c>
      <c r="D67" t="s">
        <v>67</v>
      </c>
    </row>
    <row r="68" spans="1:4" x14ac:dyDescent="0.2">
      <c r="A68" t="s">
        <v>74</v>
      </c>
      <c r="B68" s="1">
        <v>5.88</v>
      </c>
      <c r="C68" s="1">
        <f t="shared" si="1"/>
        <v>0.58799999999999997</v>
      </c>
      <c r="D68" t="s">
        <v>67</v>
      </c>
    </row>
    <row r="69" spans="1:4" x14ac:dyDescent="0.2">
      <c r="A69" t="s">
        <v>75</v>
      </c>
      <c r="B69" s="1">
        <v>2.3199999999999998</v>
      </c>
      <c r="C69" s="1">
        <f t="shared" si="1"/>
        <v>0.23200000000000001</v>
      </c>
      <c r="D69" t="s">
        <v>67</v>
      </c>
    </row>
    <row r="70" spans="1:4" x14ac:dyDescent="0.2">
      <c r="A70" t="s">
        <v>76</v>
      </c>
      <c r="B70" s="1">
        <v>6.7</v>
      </c>
      <c r="C70" s="1">
        <f t="shared" si="1"/>
        <v>0.67</v>
      </c>
      <c r="D70" t="s">
        <v>67</v>
      </c>
    </row>
    <row r="71" spans="1:4" x14ac:dyDescent="0.2">
      <c r="A71" t="s">
        <v>77</v>
      </c>
      <c r="B71" s="1">
        <v>5.94</v>
      </c>
      <c r="C71" s="1">
        <f t="shared" si="1"/>
        <v>0.59399999999999997</v>
      </c>
      <c r="D71" t="s">
        <v>67</v>
      </c>
    </row>
    <row r="72" spans="1:4" x14ac:dyDescent="0.2">
      <c r="A72" t="s">
        <v>78</v>
      </c>
      <c r="B72" s="1">
        <v>14.08</v>
      </c>
      <c r="C72" s="1">
        <f t="shared" si="1"/>
        <v>1.4079999999999999</v>
      </c>
      <c r="D72" t="s">
        <v>67</v>
      </c>
    </row>
    <row r="73" spans="1:4" x14ac:dyDescent="0.2">
      <c r="A73" t="s">
        <v>79</v>
      </c>
      <c r="B73" s="2">
        <v>0</v>
      </c>
      <c r="C73" s="1">
        <f t="shared" si="1"/>
        <v>0</v>
      </c>
      <c r="D73" t="s">
        <v>67</v>
      </c>
    </row>
    <row r="74" spans="1:4" x14ac:dyDescent="0.2">
      <c r="A74" t="s">
        <v>80</v>
      </c>
      <c r="B74" s="2">
        <v>6.26</v>
      </c>
      <c r="C74" s="1">
        <f t="shared" si="1"/>
        <v>0.626</v>
      </c>
      <c r="D74" t="s">
        <v>67</v>
      </c>
    </row>
    <row r="75" spans="1:4" x14ac:dyDescent="0.2">
      <c r="A75" t="s">
        <v>81</v>
      </c>
      <c r="B75" s="2">
        <v>6.78</v>
      </c>
      <c r="C75" s="1">
        <f t="shared" si="1"/>
        <v>0.67800000000000005</v>
      </c>
      <c r="D75" t="s">
        <v>67</v>
      </c>
    </row>
    <row r="76" spans="1:4" x14ac:dyDescent="0.2">
      <c r="A76" t="s">
        <v>82</v>
      </c>
      <c r="B76" s="1">
        <v>7.88</v>
      </c>
      <c r="C76" s="1">
        <f t="shared" si="1"/>
        <v>0.78800000000000003</v>
      </c>
      <c r="D76" t="s">
        <v>67</v>
      </c>
    </row>
    <row r="77" spans="1:4" x14ac:dyDescent="0.2">
      <c r="A77" t="s">
        <v>83</v>
      </c>
      <c r="B77" s="1">
        <v>7.08</v>
      </c>
      <c r="C77" s="1">
        <f t="shared" si="1"/>
        <v>0.70799999999999996</v>
      </c>
      <c r="D77" t="s">
        <v>67</v>
      </c>
    </row>
    <row r="78" spans="1:4" x14ac:dyDescent="0.2">
      <c r="A78" t="s">
        <v>84</v>
      </c>
      <c r="B78" s="1">
        <v>5.88</v>
      </c>
      <c r="C78" s="1">
        <f t="shared" si="1"/>
        <v>0.58799999999999997</v>
      </c>
      <c r="D78" t="s">
        <v>67</v>
      </c>
    </row>
    <row r="79" spans="1:4" x14ac:dyDescent="0.2">
      <c r="A79" t="s">
        <v>85</v>
      </c>
      <c r="B79" s="1">
        <v>7.14</v>
      </c>
      <c r="C79" s="1">
        <f t="shared" si="1"/>
        <v>0.71399999999999997</v>
      </c>
      <c r="D79" t="s">
        <v>67</v>
      </c>
    </row>
    <row r="80" spans="1:4" x14ac:dyDescent="0.2">
      <c r="A80" t="s">
        <v>86</v>
      </c>
      <c r="B80" s="2">
        <v>6.84</v>
      </c>
      <c r="C80" s="1">
        <f t="shared" si="1"/>
        <v>0.68400000000000005</v>
      </c>
      <c r="D80" t="s">
        <v>67</v>
      </c>
    </row>
    <row r="81" spans="1:4" x14ac:dyDescent="0.2">
      <c r="A81" t="s">
        <v>87</v>
      </c>
      <c r="B81" s="2">
        <v>7.36</v>
      </c>
      <c r="C81" s="1">
        <f t="shared" si="1"/>
        <v>0.73599999999999999</v>
      </c>
      <c r="D81" t="s">
        <v>67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2025-10-29T04:52:31Z</dcterms:created>
  <dcterms:modified xsi:type="dcterms:W3CDTF">2025-10-29T05:01:56Z</dcterms:modified>
</cp:coreProperties>
</file>