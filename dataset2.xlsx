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shliannes.rosal/Downloads/"/>
    </mc:Choice>
  </mc:AlternateContent>
  <xr:revisionPtr revIDLastSave="0" documentId="13_ncr:1_{BFE9C386-3E4A-EA40-9204-BD650C1A2627}" xr6:coauthVersionLast="47" xr6:coauthVersionMax="47" xr10:uidLastSave="{00000000-0000-0000-0000-000000000000}"/>
  <bookViews>
    <workbookView xWindow="-38400" yWindow="-3820" windowWidth="38400" windowHeight="20980" xr2:uid="{71176318-AC0A-2E4D-B44D-CCFD68960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<sst xmlns="http://schemas.openxmlformats.org/spreadsheetml/2006/main" count="167" uniqueCount="91">
  <si>
    <t>ID</t>
  </si>
  <si>
    <t>FORCE (kN)</t>
  </si>
  <si>
    <t>Strength (MPa)</t>
  </si>
  <si>
    <t>Batch type</t>
  </si>
  <si>
    <t>COMPRESSIVE: BATCH 1</t>
  </si>
  <si>
    <t>COMPRESSIVE: BATCH 2</t>
  </si>
  <si>
    <t>1C-1</t>
  </si>
  <si>
    <t>2C-1</t>
  </si>
  <si>
    <t>3C-1</t>
  </si>
  <si>
    <t>4C-1</t>
  </si>
  <si>
    <t>5C-1</t>
  </si>
  <si>
    <t>6C-1</t>
  </si>
  <si>
    <t>7C-1</t>
  </si>
  <si>
    <t>8C-1</t>
  </si>
  <si>
    <t>9C-1</t>
  </si>
  <si>
    <t>10C-1</t>
  </si>
  <si>
    <t>11C-1</t>
  </si>
  <si>
    <t>12C-1</t>
  </si>
  <si>
    <t>13C-1</t>
  </si>
  <si>
    <t>14C-1</t>
  </si>
  <si>
    <t>15C-1</t>
  </si>
  <si>
    <t>16C-1</t>
  </si>
  <si>
    <t>17C-1</t>
  </si>
  <si>
    <t>18C-1</t>
  </si>
  <si>
    <t>19C-1</t>
  </si>
  <si>
    <t>20C-1</t>
  </si>
  <si>
    <t>1C-2</t>
  </si>
  <si>
    <t>2C-2</t>
  </si>
  <si>
    <t>3C-2</t>
  </si>
  <si>
    <t>4C-2</t>
  </si>
  <si>
    <t>5C-2</t>
  </si>
  <si>
    <t>6C-2</t>
  </si>
  <si>
    <t>7C-2</t>
  </si>
  <si>
    <t>8C-2</t>
  </si>
  <si>
    <t>9C-2</t>
  </si>
  <si>
    <t>10C-2</t>
  </si>
  <si>
    <t>11C-2</t>
  </si>
  <si>
    <t>12C-2</t>
  </si>
  <si>
    <t>13C-2</t>
  </si>
  <si>
    <t>14C-2</t>
  </si>
  <si>
    <t>15C-2</t>
  </si>
  <si>
    <t>16C-2</t>
  </si>
  <si>
    <t>17C-2</t>
  </si>
  <si>
    <t>18C-2</t>
  </si>
  <si>
    <t>19C-2</t>
  </si>
  <si>
    <t>20C-2</t>
  </si>
  <si>
    <t>1B-1</t>
  </si>
  <si>
    <t>2B-1</t>
  </si>
  <si>
    <t>3B-1</t>
  </si>
  <si>
    <t>4B-1</t>
  </si>
  <si>
    <t>5B-1</t>
  </si>
  <si>
    <t>6B-1</t>
  </si>
  <si>
    <t>7B-1</t>
  </si>
  <si>
    <t>8B-1</t>
  </si>
  <si>
    <t>9B-1</t>
  </si>
  <si>
    <t>10B-1</t>
  </si>
  <si>
    <t>11B-1</t>
  </si>
  <si>
    <t>12B-1</t>
  </si>
  <si>
    <t>13B-1</t>
  </si>
  <si>
    <t>14B-1</t>
  </si>
  <si>
    <t>15B-1</t>
  </si>
  <si>
    <t>16B-1</t>
  </si>
  <si>
    <t>17B-1</t>
  </si>
  <si>
    <t>18B-1</t>
  </si>
  <si>
    <t>19B-1</t>
  </si>
  <si>
    <t>20B-1</t>
  </si>
  <si>
    <t>FLEXURAL: BATCH 1</t>
  </si>
  <si>
    <t>FLEXURAL: BATCH 2</t>
  </si>
  <si>
    <t>1B-2</t>
  </si>
  <si>
    <t>2B-2</t>
  </si>
  <si>
    <t>3B-2</t>
  </si>
  <si>
    <t>4B-2</t>
  </si>
  <si>
    <t>5B-2</t>
  </si>
  <si>
    <t>6B-2</t>
  </si>
  <si>
    <t>7B-2</t>
  </si>
  <si>
    <t>8B-2</t>
  </si>
  <si>
    <t>9B-2</t>
  </si>
  <si>
    <t>10B-2</t>
  </si>
  <si>
    <t>11B-2</t>
  </si>
  <si>
    <t>12B-2</t>
  </si>
  <si>
    <t>13B-2</t>
  </si>
  <si>
    <t>14B-2</t>
  </si>
  <si>
    <t>15B-2</t>
  </si>
  <si>
    <t>16B-2</t>
  </si>
  <si>
    <t>17B-2</t>
  </si>
  <si>
    <t>18B-2</t>
  </si>
  <si>
    <t>19B-2</t>
  </si>
  <si>
    <t>20B-2</t>
  </si>
  <si>
    <t>BFC (%)</t>
  </si>
  <si>
    <t>Duration (min)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</si>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</sst>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name val="Aptos Narrow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6FE2-8D4D-3F4A-ADF9-2EC4E28512E0}">
  <dimension ref="A1:G124"/>
  <sheetViews>
    <sheetView tabSelected="1" zoomScale="110" zoomScaleNormal="110" workbookViewId="0">
      <selection activeCell="E93" sqref="E93"/>
    </sheetView>
  </sheetViews>
  <sheetFormatPr baseColWidth="10" defaultColWidth="11" defaultRowHeight="16" x14ac:dyDescent="0.2"/>
  <cols>
    <col min="2" max="2" width="20.1640625" customWidth="1"/>
    <col min="3" max="6" width="23.5" customWidth="1"/>
    <col min="7" max="7" width="24.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5" t="s">
        <v>88</v>
      </c>
      <c r="E1" s="5" t="s">
        <v>90</v>
      </c>
      <c r="F1" s="5" t="s">
        <v>89</v>
      </c>
      <c r="G1" t="s">
        <v>3</v>
      </c>
    </row>
    <row r="2" spans="1:7" x14ac:dyDescent="0.2">
      <c r="A2" s="1" t="s">
        <v>6</v>
      </c>
      <c r="B2" s="1">
        <v>367.42</v>
      </c>
      <c r="C2" s="4">
        <f t="shared" ref="C2:C21" si="0">(B2*1000)/(0.25*PI()*100*100)</f>
        <v>46.781367352659345</v>
      </c>
      <c r="D2" s="6">
        <v>0</v>
      </c>
      <c r="E2" s="6">
        <v>200</v>
      </c>
      <c r="F2" s="6">
        <v>20</v>
      </c>
      <c r="G2" t="s">
        <v>4</v>
      </c>
    </row>
    <row r="3" spans="1:7" x14ac:dyDescent="0.2">
      <c r="A3" s="1" t="s">
        <v>7</v>
      </c>
      <c r="B3" s="2">
        <v>118.96</v>
      </c>
      <c r="C3" s="4">
        <f t="shared" si="0"/>
        <v>15.146457624169496</v>
      </c>
      <c r="D3" s="6">
        <v>1</v>
      </c>
      <c r="E3" s="6">
        <v>200</v>
      </c>
      <c r="F3" s="6">
        <v>20</v>
      </c>
      <c r="G3" t="s">
        <v>4</v>
      </c>
    </row>
    <row r="4" spans="1:7" x14ac:dyDescent="0.2">
      <c r="A4" s="1" t="s">
        <v>8</v>
      </c>
      <c r="B4" s="1">
        <v>47.48</v>
      </c>
      <c r="C4" s="4">
        <f t="shared" si="0"/>
        <v>6.0453413584025526</v>
      </c>
      <c r="D4" s="6">
        <v>0</v>
      </c>
      <c r="E4" s="6">
        <v>1000</v>
      </c>
      <c r="F4" s="6">
        <v>20</v>
      </c>
      <c r="G4" t="s">
        <v>4</v>
      </c>
    </row>
    <row r="5" spans="1:7" x14ac:dyDescent="0.2">
      <c r="A5" s="1" t="s">
        <v>9</v>
      </c>
      <c r="B5" s="1">
        <v>8.32</v>
      </c>
      <c r="C5" s="4">
        <f t="shared" si="0"/>
        <v>1.0593353012196554</v>
      </c>
      <c r="D5" s="6">
        <v>1</v>
      </c>
      <c r="E5" s="6">
        <v>1000</v>
      </c>
      <c r="F5" s="6">
        <v>20</v>
      </c>
      <c r="G5" t="s">
        <v>4</v>
      </c>
    </row>
    <row r="6" spans="1:7" x14ac:dyDescent="0.2">
      <c r="A6" s="1" t="s">
        <v>10</v>
      </c>
      <c r="B6" s="1">
        <v>390.58</v>
      </c>
      <c r="C6" s="4">
        <f t="shared" si="0"/>
        <v>49.730190138265982</v>
      </c>
      <c r="D6" s="6">
        <v>0</v>
      </c>
      <c r="E6" s="6">
        <v>200</v>
      </c>
      <c r="F6" s="6">
        <v>60</v>
      </c>
      <c r="G6" t="s">
        <v>4</v>
      </c>
    </row>
    <row r="7" spans="1:7" x14ac:dyDescent="0.2">
      <c r="A7" s="1" t="s">
        <v>11</v>
      </c>
      <c r="B7" s="1">
        <v>67.48</v>
      </c>
      <c r="C7" s="4">
        <f t="shared" si="0"/>
        <v>8.5918204478728786</v>
      </c>
      <c r="D7" s="6">
        <v>1</v>
      </c>
      <c r="E7" s="6">
        <v>200</v>
      </c>
      <c r="F7" s="6">
        <v>60</v>
      </c>
      <c r="G7" t="s">
        <v>4</v>
      </c>
    </row>
    <row r="8" spans="1:7" x14ac:dyDescent="0.2">
      <c r="A8" s="1" t="s">
        <v>12</v>
      </c>
      <c r="B8" s="1">
        <v>43.15</v>
      </c>
      <c r="C8" s="4">
        <f t="shared" si="0"/>
        <v>5.494028635532227</v>
      </c>
      <c r="D8" s="6">
        <v>0</v>
      </c>
      <c r="E8" s="6">
        <v>1000</v>
      </c>
      <c r="F8" s="6">
        <v>60</v>
      </c>
      <c r="G8" t="s">
        <v>4</v>
      </c>
    </row>
    <row r="9" spans="1:7" x14ac:dyDescent="0.2">
      <c r="A9" s="1" t="s">
        <v>13</v>
      </c>
      <c r="B9" s="1">
        <v>35.86</v>
      </c>
      <c r="C9" s="4">
        <f t="shared" si="0"/>
        <v>4.5658370074202939</v>
      </c>
      <c r="D9" s="6">
        <v>1</v>
      </c>
      <c r="E9" s="6">
        <v>1000</v>
      </c>
      <c r="F9" s="6">
        <v>60</v>
      </c>
      <c r="G9" t="s">
        <v>4</v>
      </c>
    </row>
    <row r="10" spans="1:7" x14ac:dyDescent="0.2">
      <c r="A10" s="1" t="s">
        <v>14</v>
      </c>
      <c r="B10" s="1">
        <v>173.6</v>
      </c>
      <c r="C10" s="4">
        <f t="shared" si="0"/>
        <v>22.103438496602426</v>
      </c>
      <c r="D10" s="6">
        <v>0</v>
      </c>
      <c r="E10" s="6">
        <v>600</v>
      </c>
      <c r="F10" s="6">
        <v>40</v>
      </c>
      <c r="G10" t="s">
        <v>4</v>
      </c>
    </row>
    <row r="11" spans="1:7" x14ac:dyDescent="0.2">
      <c r="A11" s="1" t="s">
        <v>15</v>
      </c>
      <c r="B11" s="1">
        <v>36</v>
      </c>
      <c r="C11" s="4">
        <f t="shared" si="0"/>
        <v>4.5836623610465859</v>
      </c>
      <c r="D11" s="6">
        <v>1</v>
      </c>
      <c r="E11" s="6">
        <v>600</v>
      </c>
      <c r="F11" s="6">
        <v>40</v>
      </c>
      <c r="G11" t="s">
        <v>4</v>
      </c>
    </row>
    <row r="12" spans="1:7" x14ac:dyDescent="0.2">
      <c r="A12" s="1" t="s">
        <v>16</v>
      </c>
      <c r="B12" s="1">
        <v>189.82</v>
      </c>
      <c r="C12" s="4">
        <f t="shared" si="0"/>
        <v>24.168633038162859</v>
      </c>
      <c r="D12" s="6">
        <v>0.5</v>
      </c>
      <c r="E12" s="6">
        <v>200</v>
      </c>
      <c r="F12" s="6">
        <v>40</v>
      </c>
      <c r="G12" t="s">
        <v>4</v>
      </c>
    </row>
    <row r="13" spans="1:7" x14ac:dyDescent="0.2">
      <c r="A13" s="1" t="s">
        <v>17</v>
      </c>
      <c r="B13" s="1"/>
      <c r="C13" s="4">
        <f t="shared" si="0"/>
        <v>0</v>
      </c>
      <c r="D13" s="6">
        <v>0.5</v>
      </c>
      <c r="E13" s="6">
        <v>1000</v>
      </c>
      <c r="F13" s="6">
        <v>40</v>
      </c>
      <c r="G13" t="s">
        <v>4</v>
      </c>
    </row>
    <row r="14" spans="1:7" x14ac:dyDescent="0.2">
      <c r="A14" s="1" t="s">
        <v>18</v>
      </c>
      <c r="B14" s="2">
        <v>65.58</v>
      </c>
      <c r="C14" s="4">
        <f t="shared" si="0"/>
        <v>8.3499049343731961</v>
      </c>
      <c r="D14" s="6">
        <v>0.5</v>
      </c>
      <c r="E14" s="6">
        <v>600</v>
      </c>
      <c r="F14" s="6">
        <v>20</v>
      </c>
      <c r="G14" t="s">
        <v>4</v>
      </c>
    </row>
    <row r="15" spans="1:7" x14ac:dyDescent="0.2">
      <c r="A15" s="1" t="s">
        <v>19</v>
      </c>
      <c r="B15" s="2">
        <v>75.48</v>
      </c>
      <c r="C15" s="4">
        <f t="shared" si="0"/>
        <v>9.610412083661009</v>
      </c>
      <c r="D15" s="6">
        <v>0.5</v>
      </c>
      <c r="E15" s="6">
        <v>600</v>
      </c>
      <c r="F15" s="6">
        <v>60</v>
      </c>
      <c r="G15" t="s">
        <v>4</v>
      </c>
    </row>
    <row r="16" spans="1:7" x14ac:dyDescent="0.2">
      <c r="A16" s="1" t="s">
        <v>20</v>
      </c>
      <c r="B16" s="1">
        <v>75.86</v>
      </c>
      <c r="C16" s="4">
        <f t="shared" si="0"/>
        <v>9.658795186360944</v>
      </c>
      <c r="D16" s="6">
        <v>0.5</v>
      </c>
      <c r="E16" s="6">
        <v>600</v>
      </c>
      <c r="F16" s="6">
        <v>40</v>
      </c>
      <c r="G16" t="s">
        <v>4</v>
      </c>
    </row>
    <row r="17" spans="1:7" x14ac:dyDescent="0.2">
      <c r="A17" s="1" t="s">
        <v>21</v>
      </c>
      <c r="B17" s="1">
        <v>97.94</v>
      </c>
      <c r="C17" s="4">
        <f t="shared" si="0"/>
        <v>12.470108101136184</v>
      </c>
      <c r="D17" s="6">
        <v>0.5</v>
      </c>
      <c r="E17" s="6">
        <v>600</v>
      </c>
      <c r="F17" s="6">
        <v>40</v>
      </c>
      <c r="G17" t="s">
        <v>4</v>
      </c>
    </row>
    <row r="18" spans="1:7" x14ac:dyDescent="0.2">
      <c r="A18" s="1" t="s">
        <v>22</v>
      </c>
      <c r="B18" s="1">
        <v>66.540000000000006</v>
      </c>
      <c r="C18" s="4">
        <f t="shared" si="0"/>
        <v>8.4721359306677719</v>
      </c>
      <c r="D18" s="6">
        <v>0.5</v>
      </c>
      <c r="E18" s="6">
        <v>600</v>
      </c>
      <c r="F18" s="6">
        <v>40</v>
      </c>
      <c r="G18" t="s">
        <v>4</v>
      </c>
    </row>
    <row r="19" spans="1:7" x14ac:dyDescent="0.2">
      <c r="A19" s="1" t="s">
        <v>23</v>
      </c>
      <c r="B19" s="1">
        <v>45.36</v>
      </c>
      <c r="C19" s="4">
        <f t="shared" si="0"/>
        <v>5.775414574918698</v>
      </c>
      <c r="D19" s="6">
        <v>0.5</v>
      </c>
      <c r="E19" s="6">
        <v>600</v>
      </c>
      <c r="F19" s="6">
        <v>40</v>
      </c>
      <c r="G19" t="s">
        <v>4</v>
      </c>
    </row>
    <row r="20" spans="1:7" x14ac:dyDescent="0.2">
      <c r="A20" s="1" t="s">
        <v>24</v>
      </c>
      <c r="B20" s="2">
        <v>64.8</v>
      </c>
      <c r="C20" s="4">
        <f t="shared" si="0"/>
        <v>8.2505922498838551</v>
      </c>
      <c r="D20" s="6">
        <v>0.5</v>
      </c>
      <c r="E20" s="6">
        <v>600</v>
      </c>
      <c r="F20" s="6">
        <v>40</v>
      </c>
      <c r="G20" t="s">
        <v>4</v>
      </c>
    </row>
    <row r="21" spans="1:7" x14ac:dyDescent="0.2">
      <c r="A21" s="1" t="s">
        <v>25</v>
      </c>
      <c r="B21" s="2">
        <v>66.28</v>
      </c>
      <c r="C21" s="4">
        <f t="shared" si="0"/>
        <v>8.4390317025046588</v>
      </c>
      <c r="D21" s="6">
        <v>0.5</v>
      </c>
      <c r="E21" s="6">
        <v>600</v>
      </c>
      <c r="F21" s="6">
        <v>40</v>
      </c>
      <c r="G21" t="s">
        <v>4</v>
      </c>
    </row>
    <row r="22" spans="1:7" x14ac:dyDescent="0.2">
      <c r="A22" t="s">
        <v>26</v>
      </c>
      <c r="B22" s="1">
        <v>407.92</v>
      </c>
      <c r="C22" s="4">
        <f t="shared" ref="C22:C41" si="1">(B22*1000)/(0.25*PI()*100*100)</f>
        <v>51.937987508836756</v>
      </c>
      <c r="D22" s="6">
        <v>0</v>
      </c>
      <c r="E22" s="6">
        <v>200</v>
      </c>
      <c r="F22" s="6">
        <v>20</v>
      </c>
      <c r="G22" t="s">
        <v>5</v>
      </c>
    </row>
    <row r="23" spans="1:7" x14ac:dyDescent="0.2">
      <c r="A23" t="s">
        <v>27</v>
      </c>
      <c r="B23" s="2">
        <v>129.5</v>
      </c>
      <c r="C23" s="4">
        <f t="shared" si="1"/>
        <v>16.488452104320356</v>
      </c>
      <c r="D23" s="6">
        <v>1</v>
      </c>
      <c r="E23" s="6">
        <v>200</v>
      </c>
      <c r="F23" s="6">
        <v>20</v>
      </c>
      <c r="G23" t="s">
        <v>5</v>
      </c>
    </row>
    <row r="24" spans="1:7" x14ac:dyDescent="0.2">
      <c r="A24" t="s">
        <v>28</v>
      </c>
      <c r="B24" s="1">
        <v>33.1</v>
      </c>
      <c r="C24" s="4">
        <f t="shared" si="1"/>
        <v>4.2144228930733885</v>
      </c>
      <c r="D24" s="6">
        <v>0</v>
      </c>
      <c r="E24" s="6">
        <v>1000</v>
      </c>
      <c r="F24" s="6">
        <v>20</v>
      </c>
      <c r="G24" t="s">
        <v>5</v>
      </c>
    </row>
    <row r="25" spans="1:7" x14ac:dyDescent="0.2">
      <c r="A25" t="s">
        <v>29</v>
      </c>
      <c r="B25" s="1">
        <v>8.14</v>
      </c>
      <c r="C25" s="4">
        <f t="shared" si="1"/>
        <v>1.0364169894144226</v>
      </c>
      <c r="D25" s="6">
        <v>1</v>
      </c>
      <c r="E25" s="6">
        <v>1000</v>
      </c>
      <c r="F25" s="6">
        <v>20</v>
      </c>
      <c r="G25" t="s">
        <v>5</v>
      </c>
    </row>
    <row r="26" spans="1:7" x14ac:dyDescent="0.2">
      <c r="A26" t="s">
        <v>30</v>
      </c>
      <c r="B26" s="1">
        <v>413.04</v>
      </c>
      <c r="C26" s="4">
        <f t="shared" si="1"/>
        <v>52.589886155741162</v>
      </c>
      <c r="D26" s="6">
        <v>0</v>
      </c>
      <c r="E26" s="6">
        <v>200</v>
      </c>
      <c r="F26" s="6">
        <v>60</v>
      </c>
      <c r="G26" t="s">
        <v>5</v>
      </c>
    </row>
    <row r="27" spans="1:7" x14ac:dyDescent="0.2">
      <c r="A27" t="s">
        <v>31</v>
      </c>
      <c r="B27" s="1">
        <v>38.299999999999997</v>
      </c>
      <c r="C27" s="4">
        <f t="shared" si="1"/>
        <v>4.8765074563356734</v>
      </c>
      <c r="D27" s="6">
        <v>1</v>
      </c>
      <c r="E27" s="6">
        <v>200</v>
      </c>
      <c r="F27" s="6">
        <v>60</v>
      </c>
      <c r="G27" t="s">
        <v>5</v>
      </c>
    </row>
    <row r="28" spans="1:7" x14ac:dyDescent="0.2">
      <c r="A28" t="s">
        <v>32</v>
      </c>
      <c r="B28" s="1">
        <v>17.88</v>
      </c>
      <c r="C28" s="4">
        <f t="shared" si="1"/>
        <v>2.276552305986471</v>
      </c>
      <c r="D28" s="6">
        <v>0</v>
      </c>
      <c r="E28" s="6">
        <v>1000</v>
      </c>
      <c r="F28" s="6">
        <v>60</v>
      </c>
      <c r="G28" t="s">
        <v>5</v>
      </c>
    </row>
    <row r="29" spans="1:7" x14ac:dyDescent="0.2">
      <c r="A29" t="s">
        <v>33</v>
      </c>
      <c r="B29" s="1">
        <v>14.24</v>
      </c>
      <c r="C29" s="4">
        <f t="shared" si="1"/>
        <v>1.8130931117028717</v>
      </c>
      <c r="D29" s="6">
        <v>1</v>
      </c>
      <c r="E29" s="6">
        <v>1000</v>
      </c>
      <c r="F29" s="6">
        <v>60</v>
      </c>
      <c r="G29" t="s">
        <v>5</v>
      </c>
    </row>
    <row r="30" spans="1:7" x14ac:dyDescent="0.2">
      <c r="A30" t="s">
        <v>34</v>
      </c>
      <c r="B30" s="1">
        <v>124.06</v>
      </c>
      <c r="C30" s="4">
        <f t="shared" si="1"/>
        <v>15.795809791984428</v>
      </c>
      <c r="D30" s="6">
        <v>0</v>
      </c>
      <c r="E30" s="6">
        <v>600</v>
      </c>
      <c r="F30" s="6">
        <v>40</v>
      </c>
      <c r="G30" t="s">
        <v>5</v>
      </c>
    </row>
    <row r="31" spans="1:7" x14ac:dyDescent="0.2">
      <c r="A31" t="s">
        <v>35</v>
      </c>
      <c r="B31" s="1">
        <v>42.06</v>
      </c>
      <c r="C31" s="4">
        <f t="shared" si="1"/>
        <v>5.3552455251560946</v>
      </c>
      <c r="D31" s="6">
        <v>1</v>
      </c>
      <c r="E31" s="6">
        <v>600</v>
      </c>
      <c r="F31" s="6">
        <v>40</v>
      </c>
      <c r="G31" t="s">
        <v>5</v>
      </c>
    </row>
    <row r="32" spans="1:7" x14ac:dyDescent="0.2">
      <c r="A32" t="s">
        <v>36</v>
      </c>
      <c r="B32" s="1">
        <v>179</v>
      </c>
      <c r="C32" s="4">
        <f t="shared" si="1"/>
        <v>22.790987850759411</v>
      </c>
      <c r="D32" s="6">
        <v>0.5</v>
      </c>
      <c r="E32" s="6">
        <v>200</v>
      </c>
      <c r="F32" s="6">
        <v>40</v>
      </c>
      <c r="G32" t="s">
        <v>5</v>
      </c>
    </row>
    <row r="33" spans="1:7" x14ac:dyDescent="0.2">
      <c r="A33" t="s">
        <v>37</v>
      </c>
      <c r="B33" s="1">
        <v>0</v>
      </c>
      <c r="C33" s="4">
        <f t="shared" si="1"/>
        <v>0</v>
      </c>
      <c r="D33" s="6">
        <v>0.5</v>
      </c>
      <c r="E33" s="6">
        <v>1000</v>
      </c>
      <c r="F33" s="6">
        <v>40</v>
      </c>
      <c r="G33" t="s">
        <v>5</v>
      </c>
    </row>
    <row r="34" spans="1:7" x14ac:dyDescent="0.2">
      <c r="A34" t="s">
        <v>38</v>
      </c>
      <c r="B34" s="2">
        <v>66.08</v>
      </c>
      <c r="C34" s="4">
        <f t="shared" si="1"/>
        <v>8.413566911609955</v>
      </c>
      <c r="D34" s="6">
        <v>0.5</v>
      </c>
      <c r="E34" s="6">
        <v>600</v>
      </c>
      <c r="F34" s="6">
        <v>20</v>
      </c>
      <c r="G34" t="s">
        <v>5</v>
      </c>
    </row>
    <row r="35" spans="1:7" x14ac:dyDescent="0.2">
      <c r="A35" t="s">
        <v>39</v>
      </c>
      <c r="B35" s="2">
        <v>51.5</v>
      </c>
      <c r="C35" s="4">
        <f t="shared" si="1"/>
        <v>6.5571836553860878</v>
      </c>
      <c r="D35" s="6">
        <v>0.5</v>
      </c>
      <c r="E35" s="6">
        <v>600</v>
      </c>
      <c r="F35" s="6">
        <v>60</v>
      </c>
      <c r="G35" t="s">
        <v>5</v>
      </c>
    </row>
    <row r="36" spans="1:7" x14ac:dyDescent="0.2">
      <c r="A36" t="s">
        <v>40</v>
      </c>
      <c r="B36" s="1">
        <v>90.28</v>
      </c>
      <c r="C36" s="4">
        <f t="shared" si="1"/>
        <v>11.494806609869048</v>
      </c>
      <c r="D36" s="6">
        <v>0.5</v>
      </c>
      <c r="E36" s="6">
        <v>600</v>
      </c>
      <c r="F36" s="6">
        <v>40</v>
      </c>
      <c r="G36" t="s">
        <v>5</v>
      </c>
    </row>
    <row r="37" spans="1:7" x14ac:dyDescent="0.2">
      <c r="A37" t="s">
        <v>41</v>
      </c>
      <c r="B37" s="1">
        <v>47.82</v>
      </c>
      <c r="C37" s="4">
        <f t="shared" si="1"/>
        <v>6.0886315029235485</v>
      </c>
      <c r="D37" s="6">
        <v>0.5</v>
      </c>
      <c r="E37" s="6">
        <v>600</v>
      </c>
      <c r="F37" s="6">
        <v>40</v>
      </c>
      <c r="G37" t="s">
        <v>5</v>
      </c>
    </row>
    <row r="38" spans="1:7" x14ac:dyDescent="0.2">
      <c r="A38" t="s">
        <v>42</v>
      </c>
      <c r="B38" s="1">
        <v>60.24</v>
      </c>
      <c r="C38" s="4">
        <f t="shared" si="1"/>
        <v>7.6699950174846201</v>
      </c>
      <c r="D38" s="6">
        <v>0.5</v>
      </c>
      <c r="E38" s="6">
        <v>600</v>
      </c>
      <c r="F38" s="6">
        <v>40</v>
      </c>
      <c r="G38" t="s">
        <v>5</v>
      </c>
    </row>
    <row r="39" spans="1:7" x14ac:dyDescent="0.2">
      <c r="A39" t="s">
        <v>43</v>
      </c>
      <c r="B39" s="1">
        <v>55.98</v>
      </c>
      <c r="C39" s="4">
        <f t="shared" si="1"/>
        <v>7.1275949714274409</v>
      </c>
      <c r="D39" s="6">
        <v>0.5</v>
      </c>
      <c r="E39" s="6">
        <v>600</v>
      </c>
      <c r="F39" s="6">
        <v>40</v>
      </c>
      <c r="G39" t="s">
        <v>5</v>
      </c>
    </row>
    <row r="40" spans="1:7" x14ac:dyDescent="0.2">
      <c r="A40" t="s">
        <v>44</v>
      </c>
      <c r="B40" s="2">
        <v>47.26</v>
      </c>
      <c r="C40" s="4">
        <f t="shared" si="1"/>
        <v>6.0173300884183787</v>
      </c>
      <c r="D40" s="6">
        <v>0.5</v>
      </c>
      <c r="E40" s="6">
        <v>600</v>
      </c>
      <c r="F40" s="6">
        <v>40</v>
      </c>
      <c r="G40" t="s">
        <v>5</v>
      </c>
    </row>
    <row r="41" spans="1:7" x14ac:dyDescent="0.2">
      <c r="A41" t="s">
        <v>45</v>
      </c>
      <c r="B41" s="2">
        <v>114.5</v>
      </c>
      <c r="C41" s="4">
        <f t="shared" si="1"/>
        <v>14.578592787217612</v>
      </c>
      <c r="D41" s="6">
        <v>0.5</v>
      </c>
      <c r="E41" s="6">
        <v>600</v>
      </c>
      <c r="F41" s="6">
        <v>40</v>
      </c>
      <c r="G41" t="s">
        <v>5</v>
      </c>
    </row>
    <row r="42" spans="1:7" x14ac:dyDescent="0.2">
      <c r="A42" t="s">
        <v>46</v>
      </c>
      <c r="B42" s="2">
        <v>17.920000000000002</v>
      </c>
      <c r="C42" s="4">
        <f t="shared" ref="C42:C81" si="2">(B42*1000)/(100*100)</f>
        <v>1.792</v>
      </c>
      <c r="D42" s="6">
        <v>0</v>
      </c>
      <c r="E42" s="6">
        <v>200</v>
      </c>
      <c r="F42" s="6">
        <v>20</v>
      </c>
      <c r="G42" t="s">
        <v>66</v>
      </c>
    </row>
    <row r="43" spans="1:7" x14ac:dyDescent="0.2">
      <c r="A43" t="s">
        <v>47</v>
      </c>
      <c r="B43" s="2">
        <v>24.42</v>
      </c>
      <c r="C43" s="4">
        <f t="shared" si="2"/>
        <v>2.4420000000000002</v>
      </c>
      <c r="D43" s="6">
        <v>1</v>
      </c>
      <c r="E43" s="6">
        <v>200</v>
      </c>
      <c r="F43" s="6">
        <v>20</v>
      </c>
      <c r="G43" t="s">
        <v>66</v>
      </c>
    </row>
    <row r="44" spans="1:7" x14ac:dyDescent="0.2">
      <c r="A44" t="s">
        <v>48</v>
      </c>
      <c r="B44" s="1">
        <v>21.38</v>
      </c>
      <c r="C44" s="4">
        <f t="shared" si="2"/>
        <v>2.1379999999999999</v>
      </c>
      <c r="D44" s="6">
        <v>0</v>
      </c>
      <c r="E44" s="6">
        <v>1000</v>
      </c>
      <c r="F44" s="6">
        <v>20</v>
      </c>
      <c r="G44" t="s">
        <v>66</v>
      </c>
    </row>
    <row r="45" spans="1:7" x14ac:dyDescent="0.2">
      <c r="A45" t="s">
        <v>49</v>
      </c>
      <c r="B45" s="1">
        <v>20.68</v>
      </c>
      <c r="C45" s="4">
        <f t="shared" si="2"/>
        <v>2.0680000000000001</v>
      </c>
      <c r="D45" s="6">
        <v>1</v>
      </c>
      <c r="E45" s="6">
        <v>1000</v>
      </c>
      <c r="F45" s="6">
        <v>20</v>
      </c>
      <c r="G45" t="s">
        <v>66</v>
      </c>
    </row>
    <row r="46" spans="1:7" x14ac:dyDescent="0.2">
      <c r="A46" t="s">
        <v>50</v>
      </c>
      <c r="B46" s="1">
        <v>14.04</v>
      </c>
      <c r="C46" s="4">
        <f t="shared" si="2"/>
        <v>1.4039999999999999</v>
      </c>
      <c r="D46" s="6">
        <v>0</v>
      </c>
      <c r="E46" s="6">
        <v>200</v>
      </c>
      <c r="F46" s="6">
        <v>60</v>
      </c>
      <c r="G46" t="s">
        <v>66</v>
      </c>
    </row>
    <row r="47" spans="1:7" x14ac:dyDescent="0.2">
      <c r="A47" t="s">
        <v>51</v>
      </c>
      <c r="B47" s="1">
        <v>14.04</v>
      </c>
      <c r="C47" s="4">
        <f t="shared" si="2"/>
        <v>1.4039999999999999</v>
      </c>
      <c r="D47" s="6">
        <v>1</v>
      </c>
      <c r="E47" s="6">
        <v>200</v>
      </c>
      <c r="F47" s="6">
        <v>60</v>
      </c>
      <c r="G47" t="s">
        <v>66</v>
      </c>
    </row>
    <row r="48" spans="1:7" x14ac:dyDescent="0.2">
      <c r="A48" t="s">
        <v>52</v>
      </c>
      <c r="B48" s="1">
        <v>3.4</v>
      </c>
      <c r="C48" s="4">
        <f t="shared" si="2"/>
        <v>0.34</v>
      </c>
      <c r="D48" s="6">
        <v>0</v>
      </c>
      <c r="E48" s="6">
        <v>1000</v>
      </c>
      <c r="F48" s="6">
        <v>60</v>
      </c>
      <c r="G48" t="s">
        <v>66</v>
      </c>
    </row>
    <row r="49" spans="1:7" x14ac:dyDescent="0.2">
      <c r="A49" t="s">
        <v>53</v>
      </c>
      <c r="B49" s="1">
        <v>2.62</v>
      </c>
      <c r="C49" s="4">
        <f t="shared" si="2"/>
        <v>0.26200000000000001</v>
      </c>
      <c r="D49" s="6">
        <v>1</v>
      </c>
      <c r="E49" s="6">
        <v>1000</v>
      </c>
      <c r="F49" s="6">
        <v>60</v>
      </c>
      <c r="G49" t="s">
        <v>66</v>
      </c>
    </row>
    <row r="50" spans="1:7" x14ac:dyDescent="0.2">
      <c r="A50" t="s">
        <v>54</v>
      </c>
      <c r="B50" s="1">
        <v>8.36</v>
      </c>
      <c r="C50" s="4">
        <f t="shared" si="2"/>
        <v>0.83599999999999997</v>
      </c>
      <c r="D50" s="6">
        <v>0</v>
      </c>
      <c r="E50" s="6">
        <v>600</v>
      </c>
      <c r="F50" s="6">
        <v>40</v>
      </c>
      <c r="G50" t="s">
        <v>66</v>
      </c>
    </row>
    <row r="51" spans="1:7" x14ac:dyDescent="0.2">
      <c r="A51" t="s">
        <v>55</v>
      </c>
      <c r="B51" s="1">
        <v>6.62</v>
      </c>
      <c r="C51" s="4">
        <f t="shared" si="2"/>
        <v>0.66200000000000003</v>
      </c>
      <c r="D51" s="6">
        <v>1</v>
      </c>
      <c r="E51" s="6">
        <v>600</v>
      </c>
      <c r="F51" s="6">
        <v>40</v>
      </c>
      <c r="G51" t="s">
        <v>66</v>
      </c>
    </row>
    <row r="52" spans="1:7" x14ac:dyDescent="0.2">
      <c r="A52" t="s">
        <v>56</v>
      </c>
      <c r="B52" s="1">
        <v>13.1</v>
      </c>
      <c r="C52" s="4">
        <f t="shared" si="2"/>
        <v>1.31</v>
      </c>
      <c r="D52" s="6">
        <v>0.5</v>
      </c>
      <c r="E52" s="6">
        <v>200</v>
      </c>
      <c r="F52" s="6">
        <v>40</v>
      </c>
      <c r="G52" t="s">
        <v>66</v>
      </c>
    </row>
    <row r="53" spans="1:7" x14ac:dyDescent="0.2">
      <c r="A53" t="s">
        <v>57</v>
      </c>
      <c r="B53" s="2">
        <v>0</v>
      </c>
      <c r="C53" s="4">
        <f t="shared" si="2"/>
        <v>0</v>
      </c>
      <c r="D53" s="6">
        <v>0.5</v>
      </c>
      <c r="E53" s="6">
        <v>1000</v>
      </c>
      <c r="F53" s="6">
        <v>40</v>
      </c>
      <c r="G53" t="s">
        <v>66</v>
      </c>
    </row>
    <row r="54" spans="1:7" x14ac:dyDescent="0.2">
      <c r="A54" t="s">
        <v>58</v>
      </c>
      <c r="B54" s="2">
        <v>16.68</v>
      </c>
      <c r="C54" s="4">
        <f t="shared" si="2"/>
        <v>1.6679999999999999</v>
      </c>
      <c r="D54" s="6">
        <v>0.5</v>
      </c>
      <c r="E54" s="6">
        <v>600</v>
      </c>
      <c r="F54" s="6">
        <v>20</v>
      </c>
      <c r="G54" t="s">
        <v>66</v>
      </c>
    </row>
    <row r="55" spans="1:7" x14ac:dyDescent="0.2">
      <c r="A55" t="s">
        <v>59</v>
      </c>
      <c r="B55" s="2">
        <v>6.42</v>
      </c>
      <c r="C55" s="4">
        <f t="shared" si="2"/>
        <v>0.64200000000000002</v>
      </c>
      <c r="D55" s="6">
        <v>0.5</v>
      </c>
      <c r="E55" s="6">
        <v>600</v>
      </c>
      <c r="F55" s="6">
        <v>60</v>
      </c>
      <c r="G55" t="s">
        <v>66</v>
      </c>
    </row>
    <row r="56" spans="1:7" x14ac:dyDescent="0.2">
      <c r="A56" t="s">
        <v>60</v>
      </c>
      <c r="B56" s="1">
        <v>6.86</v>
      </c>
      <c r="C56" s="4">
        <f t="shared" si="2"/>
        <v>0.68600000000000005</v>
      </c>
      <c r="D56" s="6">
        <v>0.5</v>
      </c>
      <c r="E56" s="6">
        <v>600</v>
      </c>
      <c r="F56" s="6">
        <v>40</v>
      </c>
      <c r="G56" t="s">
        <v>66</v>
      </c>
    </row>
    <row r="57" spans="1:7" x14ac:dyDescent="0.2">
      <c r="A57" t="s">
        <v>61</v>
      </c>
      <c r="B57" s="1">
        <v>7.24</v>
      </c>
      <c r="C57" s="4">
        <f t="shared" si="2"/>
        <v>0.72399999999999998</v>
      </c>
      <c r="D57" s="6">
        <v>0.5</v>
      </c>
      <c r="E57" s="6">
        <v>600</v>
      </c>
      <c r="F57" s="6">
        <v>40</v>
      </c>
      <c r="G57" t="s">
        <v>66</v>
      </c>
    </row>
    <row r="58" spans="1:7" x14ac:dyDescent="0.2">
      <c r="A58" t="s">
        <v>62</v>
      </c>
      <c r="B58" s="1">
        <v>8.64</v>
      </c>
      <c r="C58" s="4">
        <f t="shared" si="2"/>
        <v>0.86399999999999999</v>
      </c>
      <c r="D58" s="6">
        <v>0.5</v>
      </c>
      <c r="E58" s="6">
        <v>600</v>
      </c>
      <c r="F58" s="6">
        <v>40</v>
      </c>
      <c r="G58" t="s">
        <v>66</v>
      </c>
    </row>
    <row r="59" spans="1:7" x14ac:dyDescent="0.2">
      <c r="A59" t="s">
        <v>63</v>
      </c>
      <c r="B59" s="1">
        <v>8.1199999999999992</v>
      </c>
      <c r="C59" s="4">
        <f t="shared" si="2"/>
        <v>0.81199999999999994</v>
      </c>
      <c r="D59" s="6">
        <v>0.5</v>
      </c>
      <c r="E59" s="6">
        <v>600</v>
      </c>
      <c r="F59" s="6">
        <v>40</v>
      </c>
      <c r="G59" t="s">
        <v>66</v>
      </c>
    </row>
    <row r="60" spans="1:7" x14ac:dyDescent="0.2">
      <c r="A60" t="s">
        <v>64</v>
      </c>
      <c r="B60" s="2">
        <v>6.7</v>
      </c>
      <c r="C60" s="4">
        <f t="shared" si="2"/>
        <v>0.67</v>
      </c>
      <c r="D60" s="6">
        <v>0.5</v>
      </c>
      <c r="E60" s="6">
        <v>600</v>
      </c>
      <c r="F60" s="6">
        <v>40</v>
      </c>
      <c r="G60" t="s">
        <v>66</v>
      </c>
    </row>
    <row r="61" spans="1:7" x14ac:dyDescent="0.2">
      <c r="A61" t="s">
        <v>65</v>
      </c>
      <c r="B61" s="2">
        <v>7.64</v>
      </c>
      <c r="C61" s="4">
        <f t="shared" si="2"/>
        <v>0.76400000000000001</v>
      </c>
      <c r="D61" s="6">
        <v>0.5</v>
      </c>
      <c r="E61" s="6">
        <v>600</v>
      </c>
      <c r="F61" s="6">
        <v>40</v>
      </c>
      <c r="G61" t="s">
        <v>66</v>
      </c>
    </row>
    <row r="62" spans="1:7" x14ac:dyDescent="0.2">
      <c r="A62" t="s">
        <v>68</v>
      </c>
      <c r="B62" s="1">
        <v>18.22</v>
      </c>
      <c r="C62" s="4">
        <f t="shared" si="2"/>
        <v>1.8220000000000001</v>
      </c>
      <c r="D62" s="6">
        <v>0</v>
      </c>
      <c r="E62" s="6">
        <v>200</v>
      </c>
      <c r="F62" s="6">
        <v>20</v>
      </c>
      <c r="G62" t="s">
        <v>67</v>
      </c>
    </row>
    <row r="63" spans="1:7" x14ac:dyDescent="0.2">
      <c r="A63" t="s">
        <v>69</v>
      </c>
      <c r="B63" s="2">
        <v>10.82</v>
      </c>
      <c r="C63" s="4">
        <f t="shared" si="2"/>
        <v>1.0820000000000001</v>
      </c>
      <c r="D63" s="6">
        <v>1</v>
      </c>
      <c r="E63" s="6">
        <v>200</v>
      </c>
      <c r="F63" s="6">
        <v>20</v>
      </c>
      <c r="G63" t="s">
        <v>67</v>
      </c>
    </row>
    <row r="64" spans="1:7" x14ac:dyDescent="0.2">
      <c r="A64" t="s">
        <v>70</v>
      </c>
      <c r="B64" s="1">
        <v>19.66</v>
      </c>
      <c r="C64" s="4">
        <f t="shared" si="2"/>
        <v>1.966</v>
      </c>
      <c r="D64" s="6">
        <v>0</v>
      </c>
      <c r="E64" s="6">
        <v>1000</v>
      </c>
      <c r="F64" s="6">
        <v>20</v>
      </c>
      <c r="G64" t="s">
        <v>67</v>
      </c>
    </row>
    <row r="65" spans="1:7" x14ac:dyDescent="0.2">
      <c r="A65" t="s">
        <v>71</v>
      </c>
      <c r="B65" s="1">
        <v>20.18</v>
      </c>
      <c r="C65" s="4">
        <f t="shared" si="2"/>
        <v>2.0179999999999998</v>
      </c>
      <c r="D65" s="6">
        <v>1</v>
      </c>
      <c r="E65" s="6">
        <v>1000</v>
      </c>
      <c r="F65" s="6">
        <v>20</v>
      </c>
      <c r="G65" t="s">
        <v>67</v>
      </c>
    </row>
    <row r="66" spans="1:7" x14ac:dyDescent="0.2">
      <c r="A66" t="s">
        <v>72</v>
      </c>
      <c r="B66" s="1">
        <v>14.56</v>
      </c>
      <c r="C66" s="4">
        <f t="shared" si="2"/>
        <v>1.456</v>
      </c>
      <c r="D66" s="6">
        <v>0</v>
      </c>
      <c r="E66" s="6">
        <v>200</v>
      </c>
      <c r="F66" s="6">
        <v>60</v>
      </c>
      <c r="G66" t="s">
        <v>67</v>
      </c>
    </row>
    <row r="67" spans="1:7" x14ac:dyDescent="0.2">
      <c r="A67" t="s">
        <v>73</v>
      </c>
      <c r="B67" s="1">
        <v>26.4</v>
      </c>
      <c r="C67" s="4">
        <f t="shared" si="2"/>
        <v>2.64</v>
      </c>
      <c r="D67" s="6">
        <v>1</v>
      </c>
      <c r="E67" s="6">
        <v>200</v>
      </c>
      <c r="F67" s="6">
        <v>60</v>
      </c>
      <c r="G67" t="s">
        <v>67</v>
      </c>
    </row>
    <row r="68" spans="1:7" x14ac:dyDescent="0.2">
      <c r="A68" t="s">
        <v>74</v>
      </c>
      <c r="B68" s="1">
        <v>5.88</v>
      </c>
      <c r="C68" s="4">
        <f t="shared" si="2"/>
        <v>0.58799999999999997</v>
      </c>
      <c r="D68" s="6">
        <v>0</v>
      </c>
      <c r="E68" s="6">
        <v>1000</v>
      </c>
      <c r="F68" s="6">
        <v>60</v>
      </c>
      <c r="G68" t="s">
        <v>67</v>
      </c>
    </row>
    <row r="69" spans="1:7" x14ac:dyDescent="0.2">
      <c r="A69" t="s">
        <v>75</v>
      </c>
      <c r="B69" s="1">
        <v>2.3199999999999998</v>
      </c>
      <c r="C69" s="4">
        <f t="shared" si="2"/>
        <v>0.23200000000000001</v>
      </c>
      <c r="D69" s="6">
        <v>1</v>
      </c>
      <c r="E69" s="6">
        <v>1000</v>
      </c>
      <c r="F69" s="6">
        <v>60</v>
      </c>
      <c r="G69" t="s">
        <v>67</v>
      </c>
    </row>
    <row r="70" spans="1:7" x14ac:dyDescent="0.2">
      <c r="A70" t="s">
        <v>76</v>
      </c>
      <c r="B70" s="1">
        <v>6.7</v>
      </c>
      <c r="C70" s="4">
        <f t="shared" si="2"/>
        <v>0.67</v>
      </c>
      <c r="D70" s="6">
        <v>0</v>
      </c>
      <c r="E70" s="6">
        <v>600</v>
      </c>
      <c r="F70" s="6">
        <v>40</v>
      </c>
      <c r="G70" t="s">
        <v>67</v>
      </c>
    </row>
    <row r="71" spans="1:7" x14ac:dyDescent="0.2">
      <c r="A71" t="s">
        <v>77</v>
      </c>
      <c r="B71" s="1">
        <v>5.94</v>
      </c>
      <c r="C71" s="4">
        <f t="shared" si="2"/>
        <v>0.59399999999999997</v>
      </c>
      <c r="D71" s="6">
        <v>1</v>
      </c>
      <c r="E71" s="6">
        <v>600</v>
      </c>
      <c r="F71" s="6">
        <v>40</v>
      </c>
      <c r="G71" t="s">
        <v>67</v>
      </c>
    </row>
    <row r="72" spans="1:7" x14ac:dyDescent="0.2">
      <c r="A72" t="s">
        <v>78</v>
      </c>
      <c r="B72" s="1">
        <v>14.08</v>
      </c>
      <c r="C72" s="4">
        <f t="shared" si="2"/>
        <v>1.4079999999999999</v>
      </c>
      <c r="D72" s="6">
        <v>0.5</v>
      </c>
      <c r="E72" s="6">
        <v>200</v>
      </c>
      <c r="F72" s="6">
        <v>40</v>
      </c>
      <c r="G72" t="s">
        <v>67</v>
      </c>
    </row>
    <row r="73" spans="1:7" x14ac:dyDescent="0.2">
      <c r="A73" t="s">
        <v>79</v>
      </c>
      <c r="B73" s="2">
        <v>0</v>
      </c>
      <c r="C73" s="4">
        <f t="shared" si="2"/>
        <v>0</v>
      </c>
      <c r="D73" s="6">
        <v>0.5</v>
      </c>
      <c r="E73" s="6">
        <v>1000</v>
      </c>
      <c r="F73" s="6">
        <v>40</v>
      </c>
      <c r="G73" t="s">
        <v>67</v>
      </c>
    </row>
    <row r="74" spans="1:7" x14ac:dyDescent="0.2">
      <c r="A74" t="s">
        <v>80</v>
      </c>
      <c r="B74" s="2">
        <v>6.26</v>
      </c>
      <c r="C74" s="4">
        <f t="shared" si="2"/>
        <v>0.626</v>
      </c>
      <c r="D74" s="6">
        <v>0.5</v>
      </c>
      <c r="E74" s="6">
        <v>600</v>
      </c>
      <c r="F74" s="6">
        <v>20</v>
      </c>
      <c r="G74" t="s">
        <v>67</v>
      </c>
    </row>
    <row r="75" spans="1:7" x14ac:dyDescent="0.2">
      <c r="A75" t="s">
        <v>81</v>
      </c>
      <c r="B75" s="2">
        <v>6.78</v>
      </c>
      <c r="C75" s="4">
        <f t="shared" si="2"/>
        <v>0.67800000000000005</v>
      </c>
      <c r="D75" s="6">
        <v>0.5</v>
      </c>
      <c r="E75" s="6">
        <v>600</v>
      </c>
      <c r="F75" s="6">
        <v>60</v>
      </c>
      <c r="G75" t="s">
        <v>67</v>
      </c>
    </row>
    <row r="76" spans="1:7" x14ac:dyDescent="0.2">
      <c r="A76" t="s">
        <v>82</v>
      </c>
      <c r="B76" s="1">
        <v>7.88</v>
      </c>
      <c r="C76" s="4">
        <f t="shared" si="2"/>
        <v>0.78800000000000003</v>
      </c>
      <c r="D76" s="6">
        <v>0.5</v>
      </c>
      <c r="E76" s="6">
        <v>600</v>
      </c>
      <c r="F76" s="6">
        <v>40</v>
      </c>
      <c r="G76" t="s">
        <v>67</v>
      </c>
    </row>
    <row r="77" spans="1:7" x14ac:dyDescent="0.2">
      <c r="A77" t="s">
        <v>83</v>
      </c>
      <c r="B77" s="1">
        <v>7.08</v>
      </c>
      <c r="C77" s="4">
        <f t="shared" si="2"/>
        <v>0.70799999999999996</v>
      </c>
      <c r="D77" s="6">
        <v>0.5</v>
      </c>
      <c r="E77" s="6">
        <v>600</v>
      </c>
      <c r="F77" s="6">
        <v>40</v>
      </c>
      <c r="G77" t="s">
        <v>67</v>
      </c>
    </row>
    <row r="78" spans="1:7" x14ac:dyDescent="0.2">
      <c r="A78" t="s">
        <v>84</v>
      </c>
      <c r="B78" s="1">
        <v>5.88</v>
      </c>
      <c r="C78" s="4">
        <f t="shared" si="2"/>
        <v>0.58799999999999997</v>
      </c>
      <c r="D78" s="6">
        <v>0.5</v>
      </c>
      <c r="E78" s="6">
        <v>600</v>
      </c>
      <c r="F78" s="6">
        <v>40</v>
      </c>
      <c r="G78" t="s">
        <v>67</v>
      </c>
    </row>
    <row r="79" spans="1:7" x14ac:dyDescent="0.2">
      <c r="A79" t="s">
        <v>85</v>
      </c>
      <c r="B79" s="1">
        <v>7.14</v>
      </c>
      <c r="C79" s="4">
        <f t="shared" si="2"/>
        <v>0.71399999999999997</v>
      </c>
      <c r="D79" s="6">
        <v>0.5</v>
      </c>
      <c r="E79" s="6">
        <v>600</v>
      </c>
      <c r="F79" s="6">
        <v>40</v>
      </c>
      <c r="G79" t="s">
        <v>67</v>
      </c>
    </row>
    <row r="80" spans="1:7" x14ac:dyDescent="0.2">
      <c r="A80" t="s">
        <v>86</v>
      </c>
      <c r="B80" s="2">
        <v>6.84</v>
      </c>
      <c r="C80" s="4">
        <f t="shared" si="2"/>
        <v>0.68400000000000005</v>
      </c>
      <c r="D80" s="6">
        <v>0.5</v>
      </c>
      <c r="E80" s="6">
        <v>600</v>
      </c>
      <c r="F80" s="6">
        <v>40</v>
      </c>
      <c r="G80" t="s">
        <v>67</v>
      </c>
    </row>
    <row r="81" spans="1:7" x14ac:dyDescent="0.2">
      <c r="A81" t="s">
        <v>87</v>
      </c>
      <c r="B81" s="2">
        <v>7.36</v>
      </c>
      <c r="C81" s="4">
        <f t="shared" si="2"/>
        <v>0.73599999999999999</v>
      </c>
      <c r="D81" s="6">
        <v>0.5</v>
      </c>
      <c r="E81" s="6">
        <v>600</v>
      </c>
      <c r="F81" s="6">
        <v>40</v>
      </c>
      <c r="G81" t="s">
        <v>67</v>
      </c>
    </row>
    <row r="84" spans="1:7" x14ac:dyDescent="0.2">
      <c r="A84" s="1"/>
      <c r="B84" s="2"/>
      <c r="C84" s="3"/>
      <c r="D84" s="5"/>
      <c r="E84" s="5"/>
      <c r="F84" s="5"/>
    </row>
    <row r="85" spans="1:7" x14ac:dyDescent="0.2">
      <c r="A85" s="9"/>
      <c r="C85" s="8"/>
      <c r="D85" s="6"/>
      <c r="E85" s="6"/>
      <c r="F85" s="6"/>
      <c r="G85" s="7"/>
    </row>
    <row r="86" spans="1:7" x14ac:dyDescent="0.2">
      <c r="A86" s="9"/>
      <c r="C86" s="8"/>
      <c r="D86" s="6"/>
      <c r="E86" s="6"/>
      <c r="F86" s="6"/>
      <c r="G86" s="7"/>
    </row>
    <row r="87" spans="1:7" x14ac:dyDescent="0.2">
      <c r="A87" s="9"/>
      <c r="C87" s="8"/>
      <c r="D87" s="6"/>
      <c r="E87" s="6"/>
      <c r="F87" s="6"/>
      <c r="G87" s="7"/>
    </row>
    <row r="88" spans="1:7" x14ac:dyDescent="0.2">
      <c r="A88" s="9"/>
      <c r="C88" s="8"/>
      <c r="D88" s="6"/>
      <c r="E88" s="6"/>
      <c r="F88" s="6"/>
      <c r="G88" s="7"/>
    </row>
    <row r="89" spans="1:7" x14ac:dyDescent="0.2">
      <c r="A89" s="9"/>
      <c r="C89" s="8"/>
      <c r="D89" s="6"/>
      <c r="E89" s="6"/>
      <c r="F89" s="6"/>
      <c r="G89" s="7"/>
    </row>
    <row r="90" spans="1:7" x14ac:dyDescent="0.2">
      <c r="A90" s="9"/>
      <c r="C90" s="8"/>
      <c r="D90" s="6"/>
      <c r="E90" s="6"/>
      <c r="F90" s="6"/>
      <c r="G90" s="7"/>
    </row>
    <row r="91" spans="1:7" x14ac:dyDescent="0.2">
      <c r="A91" s="9"/>
      <c r="C91" s="8"/>
      <c r="D91" s="6"/>
      <c r="E91" s="6"/>
      <c r="F91" s="6"/>
      <c r="G91" s="7"/>
    </row>
    <row r="92" spans="1:7" x14ac:dyDescent="0.2">
      <c r="A92" s="9"/>
      <c r="C92" s="8"/>
      <c r="D92" s="6"/>
      <c r="E92" s="6"/>
      <c r="F92" s="6"/>
      <c r="G92" s="7"/>
    </row>
    <row r="93" spans="1:7" x14ac:dyDescent="0.2">
      <c r="A93" s="9"/>
      <c r="C93" s="8"/>
      <c r="D93" s="6"/>
      <c r="E93" s="6"/>
      <c r="F93" s="6"/>
      <c r="G93" s="7"/>
    </row>
    <row r="94" spans="1:7" x14ac:dyDescent="0.2">
      <c r="A94" s="9"/>
      <c r="C94" s="8"/>
      <c r="D94" s="6"/>
      <c r="E94" s="6"/>
      <c r="F94" s="6"/>
      <c r="G94" s="7"/>
    </row>
    <row r="95" spans="1:7" x14ac:dyDescent="0.2">
      <c r="A95" s="9"/>
      <c r="C95" s="8"/>
      <c r="D95" s="6"/>
      <c r="E95" s="6"/>
      <c r="F95" s="6"/>
      <c r="G95" s="7"/>
    </row>
    <row r="96" spans="1:7" x14ac:dyDescent="0.2">
      <c r="A96" s="9"/>
      <c r="C96" s="8"/>
      <c r="D96" s="6"/>
      <c r="E96" s="6"/>
      <c r="F96" s="6"/>
      <c r="G96" s="7"/>
    </row>
    <row r="97" spans="1:7" x14ac:dyDescent="0.2">
      <c r="A97" s="9"/>
      <c r="C97" s="8"/>
      <c r="D97" s="6"/>
      <c r="E97" s="6"/>
      <c r="F97" s="6"/>
      <c r="G97" s="7"/>
    </row>
    <row r="98" spans="1:7" x14ac:dyDescent="0.2">
      <c r="A98" s="9"/>
      <c r="C98" s="8"/>
      <c r="D98" s="6"/>
      <c r="E98" s="6"/>
      <c r="F98" s="6"/>
      <c r="G98" s="7"/>
    </row>
    <row r="99" spans="1:7" x14ac:dyDescent="0.2">
      <c r="A99" s="9"/>
      <c r="C99" s="8"/>
      <c r="D99" s="6"/>
      <c r="E99" s="6"/>
      <c r="F99" s="6"/>
      <c r="G99" s="7"/>
    </row>
    <row r="100" spans="1:7" x14ac:dyDescent="0.2">
      <c r="A100" s="9"/>
      <c r="C100" s="8"/>
      <c r="D100" s="6"/>
      <c r="E100" s="6"/>
      <c r="F100" s="6"/>
      <c r="G100" s="7"/>
    </row>
    <row r="101" spans="1:7" x14ac:dyDescent="0.2">
      <c r="A101" s="9"/>
      <c r="C101" s="8"/>
      <c r="D101" s="6"/>
      <c r="E101" s="6"/>
      <c r="F101" s="6"/>
      <c r="G101" s="7"/>
    </row>
    <row r="102" spans="1:7" x14ac:dyDescent="0.2">
      <c r="A102" s="9"/>
      <c r="C102" s="8"/>
      <c r="D102" s="6"/>
      <c r="E102" s="6"/>
      <c r="F102" s="6"/>
      <c r="G102" s="7"/>
    </row>
    <row r="103" spans="1:7" x14ac:dyDescent="0.2">
      <c r="A103" s="9"/>
      <c r="C103" s="8"/>
      <c r="D103" s="6"/>
      <c r="E103" s="6"/>
      <c r="F103" s="6"/>
      <c r="G103" s="7"/>
    </row>
    <row r="104" spans="1:7" x14ac:dyDescent="0.2">
      <c r="A104" s="9"/>
      <c r="C104" s="8"/>
      <c r="D104" s="6"/>
      <c r="E104" s="6"/>
      <c r="F104" s="6"/>
      <c r="G104" s="7"/>
    </row>
    <row r="105" spans="1:7" x14ac:dyDescent="0.2">
      <c r="A105" s="9"/>
      <c r="C105" s="8"/>
      <c r="D105" s="6"/>
      <c r="E105" s="6"/>
      <c r="F105" s="6"/>
      <c r="G105" s="7"/>
    </row>
    <row r="106" spans="1:7" x14ac:dyDescent="0.2">
      <c r="A106" s="9"/>
      <c r="C106" s="8"/>
      <c r="D106" s="6"/>
      <c r="E106" s="6"/>
      <c r="F106" s="6"/>
      <c r="G106" s="7"/>
    </row>
    <row r="107" spans="1:7" x14ac:dyDescent="0.2">
      <c r="A107" s="9"/>
      <c r="C107" s="8"/>
      <c r="D107" s="6"/>
      <c r="E107" s="6"/>
      <c r="F107" s="6"/>
      <c r="G107" s="7"/>
    </row>
    <row r="108" spans="1:7" x14ac:dyDescent="0.2">
      <c r="A108" s="9"/>
      <c r="C108" s="8"/>
      <c r="D108" s="6"/>
      <c r="E108" s="6"/>
      <c r="F108" s="6"/>
      <c r="G108" s="7"/>
    </row>
    <row r="109" spans="1:7" x14ac:dyDescent="0.2">
      <c r="A109" s="9"/>
      <c r="C109" s="8"/>
      <c r="D109" s="6"/>
      <c r="E109" s="6"/>
      <c r="F109" s="6"/>
      <c r="G109" s="7"/>
    </row>
    <row r="110" spans="1:7" x14ac:dyDescent="0.2">
      <c r="A110" s="9"/>
      <c r="C110" s="8"/>
      <c r="D110" s="6"/>
      <c r="E110" s="6"/>
      <c r="F110" s="6"/>
      <c r="G110" s="7"/>
    </row>
    <row r="111" spans="1:7" x14ac:dyDescent="0.2">
      <c r="A111" s="9"/>
      <c r="C111" s="8"/>
      <c r="D111" s="6"/>
      <c r="E111" s="6"/>
      <c r="F111" s="6"/>
      <c r="G111" s="7"/>
    </row>
    <row r="112" spans="1:7" x14ac:dyDescent="0.2">
      <c r="A112" s="9"/>
      <c r="C112" s="8"/>
      <c r="D112" s="6"/>
      <c r="E112" s="6"/>
      <c r="F112" s="6"/>
      <c r="G112" s="7"/>
    </row>
    <row r="113" spans="1:7" x14ac:dyDescent="0.2">
      <c r="A113" s="9"/>
      <c r="C113" s="8"/>
      <c r="D113" s="6"/>
      <c r="E113" s="6"/>
      <c r="F113" s="6"/>
      <c r="G113" s="7"/>
    </row>
    <row r="114" spans="1:7" x14ac:dyDescent="0.2">
      <c r="A114" s="9"/>
      <c r="C114" s="8"/>
      <c r="D114" s="6"/>
      <c r="E114" s="6"/>
      <c r="F114" s="6"/>
      <c r="G114" s="7"/>
    </row>
    <row r="115" spans="1:7" x14ac:dyDescent="0.2">
      <c r="A115" s="9"/>
      <c r="C115" s="8"/>
      <c r="D115" s="6"/>
      <c r="E115" s="6"/>
      <c r="F115" s="6"/>
      <c r="G115" s="7"/>
    </row>
    <row r="116" spans="1:7" x14ac:dyDescent="0.2">
      <c r="A116" s="9"/>
      <c r="C116" s="8"/>
      <c r="D116" s="6"/>
      <c r="E116" s="6"/>
      <c r="F116" s="6"/>
      <c r="G116" s="7"/>
    </row>
    <row r="117" spans="1:7" x14ac:dyDescent="0.2">
      <c r="A117" s="9"/>
      <c r="C117" s="8"/>
      <c r="D117" s="6"/>
      <c r="E117" s="6"/>
      <c r="F117" s="6"/>
      <c r="G117" s="7"/>
    </row>
    <row r="118" spans="1:7" x14ac:dyDescent="0.2">
      <c r="A118" s="9"/>
      <c r="C118" s="8"/>
      <c r="D118" s="6"/>
      <c r="E118" s="6"/>
      <c r="F118" s="6"/>
      <c r="G118" s="7"/>
    </row>
    <row r="119" spans="1:7" x14ac:dyDescent="0.2">
      <c r="A119" s="9"/>
      <c r="C119" s="8"/>
      <c r="D119" s="6"/>
      <c r="E119" s="6"/>
      <c r="F119" s="6"/>
      <c r="G119" s="7"/>
    </row>
    <row r="120" spans="1:7" x14ac:dyDescent="0.2">
      <c r="A120" s="9"/>
      <c r="C120" s="8"/>
      <c r="D120" s="6"/>
      <c r="E120" s="6"/>
      <c r="F120" s="6"/>
      <c r="G120" s="7"/>
    </row>
    <row r="121" spans="1:7" x14ac:dyDescent="0.2">
      <c r="A121" s="9"/>
      <c r="C121" s="8"/>
      <c r="D121" s="6"/>
      <c r="E121" s="6"/>
      <c r="F121" s="6"/>
      <c r="G121" s="7"/>
    </row>
    <row r="122" spans="1:7" x14ac:dyDescent="0.2">
      <c r="A122" s="9"/>
      <c r="C122" s="8"/>
      <c r="D122" s="6"/>
      <c r="E122" s="6"/>
      <c r="F122" s="6"/>
      <c r="G122" s="7"/>
    </row>
    <row r="123" spans="1:7" x14ac:dyDescent="0.2">
      <c r="A123" s="9"/>
      <c r="C123" s="8"/>
      <c r="D123" s="6"/>
      <c r="E123" s="6"/>
      <c r="F123" s="6"/>
      <c r="G123" s="7"/>
    </row>
    <row r="124" spans="1:7" x14ac:dyDescent="0.2">
      <c r="A124" s="9"/>
      <c r="C124" s="8"/>
      <c r="D124" s="6"/>
      <c r="E124" s="6"/>
      <c r="F124" s="6"/>
      <c r="G124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2025-10-29T04:52:31Z</dcterms:created>
  <dcterms:modified xsi:type="dcterms:W3CDTF">2025-10-29T07:22:02Z</dcterms:modified>
</cp:coreProperties>
</file>